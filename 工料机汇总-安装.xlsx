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工料机汇总调价表" sheetId="1" r:id="rId1"/>
  </sheets>
  <definedNames>
    <definedName name="_xlnm._FilterDatabase" localSheetId="0" hidden="1">工料机汇总调价表!$A$3:$W$311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<sst xmlns="http://schemas.openxmlformats.org/spreadsheetml/2006/main" count="1998" uniqueCount="953">
  <si>
    <t>工料机汇总表</t>
  </si>
  <si>
    <t>工程名称：</t>
  </si>
  <si>
    <t>序号</t>
  </si>
  <si>
    <t>材料名称</t>
  </si>
  <si>
    <t>规格、型号</t>
  </si>
  <si>
    <t>单位</t>
  </si>
  <si>
    <t>数量</t>
  </si>
  <si>
    <t>预算材料单价</t>
  </si>
  <si>
    <t>聚鑫预算</t>
  </si>
  <si>
    <t>概算</t>
  </si>
  <si>
    <t>施工单位</t>
  </si>
  <si>
    <t>过控</t>
  </si>
  <si>
    <t>信息价</t>
  </si>
  <si>
    <t>预算与概算差价</t>
  </si>
  <si>
    <t>备注</t>
  </si>
  <si>
    <t>1</t>
  </si>
  <si>
    <t>150℃防火阀</t>
  </si>
  <si>
    <t>320*200</t>
  </si>
  <si>
    <t>个</t>
  </si>
  <si>
    <t>/</t>
  </si>
  <si>
    <t>2</t>
  </si>
  <si>
    <t>320*250</t>
  </si>
  <si>
    <t>3</t>
  </si>
  <si>
    <t>400*320</t>
  </si>
  <si>
    <t>136.00</t>
  </si>
  <si>
    <t>4</t>
  </si>
  <si>
    <t>500*320</t>
  </si>
  <si>
    <t>2.02</t>
  </si>
  <si>
    <t>145.00</t>
  </si>
  <si>
    <t>5</t>
  </si>
  <si>
    <t>500*400</t>
  </si>
  <si>
    <t>4.04</t>
  </si>
  <si>
    <t>6</t>
  </si>
  <si>
    <t>630*400</t>
  </si>
  <si>
    <t>1.01</t>
  </si>
  <si>
    <t>200.00</t>
  </si>
  <si>
    <t>7</t>
  </si>
  <si>
    <t>700*500</t>
  </si>
  <si>
    <t>180.00</t>
  </si>
  <si>
    <t>8</t>
  </si>
  <si>
    <t>280℃防火阀</t>
  </si>
  <si>
    <t>∅1050</t>
  </si>
  <si>
    <t>582.00</t>
  </si>
  <si>
    <t>9</t>
  </si>
  <si>
    <t>2000*400</t>
  </si>
  <si>
    <t>10</t>
  </si>
  <si>
    <t>10.1</t>
  </si>
  <si>
    <t>210.00</t>
  </si>
  <si>
    <t>11</t>
  </si>
  <si>
    <t>800*400</t>
  </si>
  <si>
    <t>6.06</t>
  </si>
  <si>
    <t>201.00</t>
  </si>
  <si>
    <t>12</t>
  </si>
  <si>
    <t>5厚304#不锈钢板拉丝面底面</t>
  </si>
  <si>
    <t>φ700</t>
  </si>
  <si>
    <t>套</t>
  </si>
  <si>
    <t>40</t>
  </si>
  <si>
    <t>13</t>
  </si>
  <si>
    <t>70℃电动防火阀</t>
  </si>
  <si>
    <t>200*120</t>
  </si>
  <si>
    <t>125.38</t>
  </si>
  <si>
    <t>14</t>
  </si>
  <si>
    <t>630*250</t>
  </si>
  <si>
    <t>3.03</t>
  </si>
  <si>
    <t>266.58</t>
  </si>
  <si>
    <t>15</t>
  </si>
  <si>
    <t>366.54</t>
  </si>
  <si>
    <t>16</t>
  </si>
  <si>
    <t>800*320</t>
  </si>
  <si>
    <t>370.77</t>
  </si>
  <si>
    <t>17</t>
  </si>
  <si>
    <t>70℃防火阀</t>
  </si>
  <si>
    <t>∅150</t>
  </si>
  <si>
    <t>88.00</t>
  </si>
  <si>
    <t>18</t>
  </si>
  <si>
    <t>1250*400</t>
  </si>
  <si>
    <t>220.00</t>
  </si>
  <si>
    <t>19</t>
  </si>
  <si>
    <t>1350*400</t>
  </si>
  <si>
    <t>230.00</t>
  </si>
  <si>
    <t>20</t>
  </si>
  <si>
    <t>1500*400</t>
  </si>
  <si>
    <t>262.00</t>
  </si>
  <si>
    <t>21</t>
  </si>
  <si>
    <t>1600*630</t>
  </si>
  <si>
    <t>332.00</t>
  </si>
  <si>
    <t>22</t>
  </si>
  <si>
    <t>1600*800</t>
  </si>
  <si>
    <t>340.00</t>
  </si>
  <si>
    <t>23</t>
  </si>
  <si>
    <t>200*160</t>
  </si>
  <si>
    <t>85.00</t>
  </si>
  <si>
    <t>24</t>
  </si>
  <si>
    <t>5.05</t>
  </si>
  <si>
    <t>100.00</t>
  </si>
  <si>
    <t>25</t>
  </si>
  <si>
    <t>400*250</t>
  </si>
  <si>
    <t>111.00</t>
  </si>
  <si>
    <t>26</t>
  </si>
  <si>
    <t>115.00</t>
  </si>
  <si>
    <t>27</t>
  </si>
  <si>
    <t>130.00</t>
  </si>
  <si>
    <t>28</t>
  </si>
  <si>
    <t>29</t>
  </si>
  <si>
    <t>30</t>
  </si>
  <si>
    <t>800*500</t>
  </si>
  <si>
    <t>211.00</t>
  </si>
  <si>
    <t>31</t>
  </si>
  <si>
    <t>A级不燃复合铝箔</t>
  </si>
  <si>
    <t/>
  </si>
  <si>
    <t>m2</t>
  </si>
  <si>
    <t>3869.796</t>
  </si>
  <si>
    <t>12.00</t>
  </si>
  <si>
    <t>32</t>
  </si>
  <si>
    <t>A级不燃离心玻璃棉板材</t>
  </si>
  <si>
    <t>m3</t>
  </si>
  <si>
    <t>96.171</t>
  </si>
  <si>
    <t>310.00</t>
  </si>
  <si>
    <t>33</t>
  </si>
  <si>
    <t>C30</t>
  </si>
  <si>
    <t>P6</t>
  </si>
  <si>
    <t>14.693</t>
  </si>
  <si>
    <t>400.00</t>
  </si>
  <si>
    <t>34</t>
  </si>
  <si>
    <t>HTFC-I-22A L=30583m3/h H=600Pa</t>
  </si>
  <si>
    <t>N=15kW</t>
  </si>
  <si>
    <t>台</t>
  </si>
  <si>
    <t>9500.00</t>
  </si>
  <si>
    <t>35</t>
  </si>
  <si>
    <t>SAC-5.1 壁挂式空调器</t>
  </si>
  <si>
    <t>定频;制冷量:5.1kW;制冷功率:1800W/220V;COP:3.39;SEER:5.3</t>
  </si>
  <si>
    <t>69</t>
  </si>
  <si>
    <t>2800.00</t>
  </si>
  <si>
    <t>36</t>
  </si>
  <si>
    <t>SAC-7.1 立柜式调器</t>
  </si>
  <si>
    <t>定频;制冷量:7.1kW;制冷功率:2500W/220V;COP:3.39;SEER:5.3</t>
  </si>
  <si>
    <t>4500.00</t>
  </si>
  <si>
    <t>37</t>
  </si>
  <si>
    <t>SWF-Ⅰ-5混流风机 L=7256m3/h H=476Pa</t>
  </si>
  <si>
    <t>N=2.2kW</t>
  </si>
  <si>
    <t>1638.00</t>
  </si>
  <si>
    <t>38</t>
  </si>
  <si>
    <t>SWF-I-3混流风机 L=1666m3/h H=228Pa</t>
  </si>
  <si>
    <t>N=0.25kW</t>
  </si>
  <si>
    <t>850.00</t>
  </si>
  <si>
    <t>39</t>
  </si>
  <si>
    <t>SWF-I-4混流风机 L=2745m3/h H=355Pa</t>
  </si>
  <si>
    <t>N=0.75kW</t>
  </si>
  <si>
    <t>1100.00</t>
  </si>
  <si>
    <t>SWF-I-4混流风机 L=3500m3/h H=380Pa</t>
  </si>
  <si>
    <t>41</t>
  </si>
  <si>
    <t>UPVC通气管</t>
  </si>
  <si>
    <t>DN100</t>
  </si>
  <si>
    <t>m</t>
  </si>
  <si>
    <t>10.16</t>
  </si>
  <si>
    <t>20.36</t>
  </si>
  <si>
    <t>42</t>
  </si>
  <si>
    <t>UPVC通气管粘接管件</t>
  </si>
  <si>
    <t>3.08</t>
  </si>
  <si>
    <t>20.50</t>
  </si>
  <si>
    <t>43</t>
  </si>
  <si>
    <t>UPVC雨水管</t>
  </si>
  <si>
    <t>DN200</t>
  </si>
  <si>
    <t>123.946</t>
  </si>
  <si>
    <t>49.76</t>
  </si>
  <si>
    <t>44</t>
  </si>
  <si>
    <t>UPVC雨水管管件</t>
  </si>
  <si>
    <t>5.991</t>
  </si>
  <si>
    <t>48.77</t>
  </si>
  <si>
    <t>45</t>
  </si>
  <si>
    <t>WD-200SPG-F射频自动水处理仪</t>
  </si>
  <si>
    <t>N=1kW(带过滤，除垢，除藻功能）</t>
  </si>
  <si>
    <t>2900.00</t>
  </si>
  <si>
    <t>46</t>
  </si>
  <si>
    <t>Y型过滤器</t>
  </si>
  <si>
    <t>DN150</t>
  </si>
  <si>
    <t>478.00</t>
  </si>
  <si>
    <t>47</t>
  </si>
  <si>
    <t>772.50</t>
  </si>
  <si>
    <t>48</t>
  </si>
  <si>
    <t>DN65</t>
  </si>
  <si>
    <t>167.38</t>
  </si>
  <si>
    <t>49</t>
  </si>
  <si>
    <t>薄型风管室内机 SN-63 风量:L=1140m3/h  制冷:Qo=6.3Kw  制热:Qr= 7.1kW</t>
  </si>
  <si>
    <t>耗电量:N=82W</t>
  </si>
  <si>
    <t>3500.00</t>
  </si>
  <si>
    <t>50</t>
  </si>
  <si>
    <t>薄型风管室内机</t>
  </si>
  <si>
    <t>SN-28</t>
  </si>
  <si>
    <t>2220.00</t>
  </si>
  <si>
    <t>51</t>
  </si>
  <si>
    <t>闭孔橡塑海绵</t>
  </si>
  <si>
    <t>11.763</t>
  </si>
  <si>
    <t>1120.00</t>
  </si>
  <si>
    <t>52</t>
  </si>
  <si>
    <t>变频多联机室内机</t>
  </si>
  <si>
    <t>N50</t>
  </si>
  <si>
    <t>53</t>
  </si>
  <si>
    <t>标准砖</t>
  </si>
  <si>
    <t>千匹</t>
  </si>
  <si>
    <t>17.932</t>
  </si>
  <si>
    <t>370.00</t>
  </si>
  <si>
    <t>54</t>
  </si>
  <si>
    <t>侧回风口</t>
  </si>
  <si>
    <t>1000*1800</t>
  </si>
  <si>
    <t>352.05</t>
  </si>
  <si>
    <t>55</t>
  </si>
  <si>
    <t>1500*2500</t>
  </si>
  <si>
    <t>639.00</t>
  </si>
  <si>
    <t>56</t>
  </si>
  <si>
    <t>3200*500</t>
  </si>
  <si>
    <t>312.93</t>
  </si>
  <si>
    <t>57</t>
  </si>
  <si>
    <t>柴油(机械)</t>
  </si>
  <si>
    <t>L</t>
  </si>
  <si>
    <t>7096.425</t>
  </si>
  <si>
    <t>6.00</t>
  </si>
  <si>
    <t>58</t>
  </si>
  <si>
    <t>单层百叶风口</t>
  </si>
  <si>
    <t>97.79</t>
  </si>
  <si>
    <t>59</t>
  </si>
  <si>
    <t>1250*500</t>
  </si>
  <si>
    <t>122.24</t>
  </si>
  <si>
    <t>60</t>
  </si>
  <si>
    <t>1600*2500</t>
  </si>
  <si>
    <t>530.00</t>
  </si>
  <si>
    <t>61</t>
  </si>
  <si>
    <t>200*150</t>
  </si>
  <si>
    <t>15.87</t>
  </si>
  <si>
    <t>62</t>
  </si>
  <si>
    <t>2500*600</t>
  </si>
  <si>
    <t>293.38</t>
  </si>
  <si>
    <t>63</t>
  </si>
  <si>
    <t>7.07</t>
  </si>
  <si>
    <t>18.54</t>
  </si>
  <si>
    <t>64</t>
  </si>
  <si>
    <t>25.03</t>
  </si>
  <si>
    <t>65</t>
  </si>
  <si>
    <t>400*350</t>
  </si>
  <si>
    <t>27.38</t>
  </si>
  <si>
    <t>66</t>
  </si>
  <si>
    <t>31.29</t>
  </si>
  <si>
    <t>67</t>
  </si>
  <si>
    <t>39.12</t>
  </si>
  <si>
    <t>68</t>
  </si>
  <si>
    <t>30.80</t>
  </si>
  <si>
    <t>49.29</t>
  </si>
  <si>
    <t>70</t>
  </si>
  <si>
    <t>800*350</t>
  </si>
  <si>
    <t>32.32</t>
  </si>
  <si>
    <t>54.76</t>
  </si>
  <si>
    <t>71</t>
  </si>
  <si>
    <t>85.80</t>
  </si>
  <si>
    <t>72</t>
  </si>
  <si>
    <t>单层百叶排风口</t>
  </si>
  <si>
    <t>1000*400</t>
  </si>
  <si>
    <t>78.23</t>
  </si>
  <si>
    <t>73</t>
  </si>
  <si>
    <t>600*320</t>
  </si>
  <si>
    <t>37.55</t>
  </si>
  <si>
    <t>74</t>
  </si>
  <si>
    <t>倒流防止器</t>
  </si>
  <si>
    <t>440.00</t>
  </si>
  <si>
    <t>75</t>
  </si>
  <si>
    <t>236.26</t>
  </si>
  <si>
    <t>76</t>
  </si>
  <si>
    <t>电动对开多叶调节阀</t>
  </si>
  <si>
    <t>494.10</t>
  </si>
  <si>
    <t>77</t>
  </si>
  <si>
    <t>1250*800</t>
  </si>
  <si>
    <t>558.00</t>
  </si>
  <si>
    <t>78</t>
  </si>
  <si>
    <t>594.20</t>
  </si>
  <si>
    <t>79</t>
  </si>
  <si>
    <t>80</t>
  </si>
  <si>
    <t>500*250</t>
  </si>
  <si>
    <t>99.75</t>
  </si>
  <si>
    <t>81</t>
  </si>
  <si>
    <t>119.28</t>
  </si>
  <si>
    <t>82</t>
  </si>
  <si>
    <t>117.85</t>
  </si>
  <si>
    <t>83</t>
  </si>
  <si>
    <t>630*320</t>
  </si>
  <si>
    <t>142.49</t>
  </si>
  <si>
    <t>84</t>
  </si>
  <si>
    <t>172.84</t>
  </si>
  <si>
    <t>85</t>
  </si>
  <si>
    <t>253.20</t>
  </si>
  <si>
    <t>86</t>
  </si>
  <si>
    <t>电动防火阀</t>
  </si>
  <si>
    <t>1032.00</t>
  </si>
  <si>
    <t>87</t>
  </si>
  <si>
    <t>电动开启扇</t>
  </si>
  <si>
    <t>380.00</t>
  </si>
  <si>
    <t>88</t>
  </si>
  <si>
    <t>电气控制柜</t>
  </si>
  <si>
    <t>7550.00</t>
  </si>
  <si>
    <t>89</t>
  </si>
  <si>
    <t>吊顶式新风换气空调机</t>
  </si>
  <si>
    <t>风量：1000m3/h</t>
  </si>
  <si>
    <t>90</t>
  </si>
  <si>
    <t>蝶阀</t>
  </si>
  <si>
    <t>256.64</t>
  </si>
  <si>
    <t>91</t>
  </si>
  <si>
    <t>92</t>
  </si>
  <si>
    <t>574.00</t>
  </si>
  <si>
    <t>93</t>
  </si>
  <si>
    <t>镀锌钢板</t>
  </si>
  <si>
    <t>δ=0.5</t>
  </si>
  <si>
    <t>422.345</t>
  </si>
  <si>
    <t>17.31</t>
  </si>
  <si>
    <t>94</t>
  </si>
  <si>
    <t>δ=0.6</t>
  </si>
  <si>
    <t>754.744</t>
  </si>
  <si>
    <t>20.77</t>
  </si>
  <si>
    <t>95</t>
  </si>
  <si>
    <t>δ=0.75</t>
  </si>
  <si>
    <t>874.543</t>
  </si>
  <si>
    <t>25.96</t>
  </si>
  <si>
    <t>96</t>
  </si>
  <si>
    <t>δ=1.0</t>
  </si>
  <si>
    <t>2146.017</t>
  </si>
  <si>
    <t>34.61</t>
  </si>
  <si>
    <t>97</t>
  </si>
  <si>
    <t>δ=1.2</t>
  </si>
  <si>
    <t>698.277</t>
  </si>
  <si>
    <t>41.53</t>
  </si>
  <si>
    <t>98</t>
  </si>
  <si>
    <t>δ=1.5</t>
  </si>
  <si>
    <t>922.44</t>
  </si>
  <si>
    <t>51.92</t>
  </si>
  <si>
    <t>99</t>
  </si>
  <si>
    <t>δ=3.5</t>
  </si>
  <si>
    <t>22.76</t>
  </si>
  <si>
    <t>121.14</t>
  </si>
  <si>
    <t>100</t>
  </si>
  <si>
    <t>镀锌钢管</t>
  </si>
  <si>
    <t>DN32</t>
  </si>
  <si>
    <t>102.588</t>
  </si>
  <si>
    <t>14.23</t>
  </si>
  <si>
    <t>101</t>
  </si>
  <si>
    <t>DN40</t>
  </si>
  <si>
    <t>99.94</t>
  </si>
  <si>
    <t>17.46</t>
  </si>
  <si>
    <t>102</t>
  </si>
  <si>
    <t>DN50</t>
  </si>
  <si>
    <t>36.232</t>
  </si>
  <si>
    <t>22.19</t>
  </si>
  <si>
    <t>103</t>
  </si>
  <si>
    <t>镀锌钢管管件</t>
  </si>
  <si>
    <t>101.76</t>
  </si>
  <si>
    <t>5.48</t>
  </si>
  <si>
    <t>104</t>
  </si>
  <si>
    <t>78.395</t>
  </si>
  <si>
    <t>6.80</t>
  </si>
  <si>
    <t>105</t>
  </si>
  <si>
    <t>23.902</t>
  </si>
  <si>
    <t>10.07</t>
  </si>
  <si>
    <t>106</t>
  </si>
  <si>
    <t>镀锌铁丝</t>
  </si>
  <si>
    <t>22#</t>
  </si>
  <si>
    <t>kg</t>
  </si>
  <si>
    <t>56.612</t>
  </si>
  <si>
    <t>4.38</t>
  </si>
  <si>
    <t>107</t>
  </si>
  <si>
    <t>二等锯材</t>
  </si>
  <si>
    <t>2.991</t>
  </si>
  <si>
    <t>1752.21</t>
  </si>
  <si>
    <t>108</t>
  </si>
  <si>
    <t>防雨百叶风口</t>
  </si>
  <si>
    <t>179.20</t>
  </si>
  <si>
    <t>109</t>
  </si>
  <si>
    <t>35.84</t>
  </si>
  <si>
    <t>110</t>
  </si>
  <si>
    <t>44.80</t>
  </si>
  <si>
    <t>111</t>
  </si>
  <si>
    <t>400*400</t>
  </si>
  <si>
    <t>71.68</t>
  </si>
  <si>
    <t>112</t>
  </si>
  <si>
    <t>113</t>
  </si>
  <si>
    <t>143.36</t>
  </si>
  <si>
    <t>114</t>
  </si>
  <si>
    <t>115</t>
  </si>
  <si>
    <t>防坠网</t>
  </si>
  <si>
    <t>17.00</t>
  </si>
  <si>
    <t>116</t>
  </si>
  <si>
    <t>风机盘管 卡式四出风型</t>
  </si>
  <si>
    <t>FCU-10</t>
  </si>
  <si>
    <t>4079.00</t>
  </si>
  <si>
    <t>117</t>
  </si>
  <si>
    <t>浮球阀</t>
  </si>
  <si>
    <t>75.00</t>
  </si>
  <si>
    <t>118</t>
  </si>
  <si>
    <t>复合模板</t>
  </si>
  <si>
    <t>152.456</t>
  </si>
  <si>
    <t>20.75</t>
  </si>
  <si>
    <t>119</t>
  </si>
  <si>
    <t>干混砌筑砂浆</t>
  </si>
  <si>
    <t>t</t>
  </si>
  <si>
    <t>1.992</t>
  </si>
  <si>
    <t>120</t>
  </si>
  <si>
    <t>M7.5</t>
  </si>
  <si>
    <t>17.494</t>
  </si>
  <si>
    <t>121</t>
  </si>
  <si>
    <t>钢板</t>
  </si>
  <si>
    <t>δ20</t>
  </si>
  <si>
    <t>999</t>
  </si>
  <si>
    <t>3.24</t>
  </si>
  <si>
    <t>122</t>
  </si>
  <si>
    <t>钢盖板440*980mm</t>
  </si>
  <si>
    <t>123</t>
  </si>
  <si>
    <t>钢筋</t>
  </si>
  <si>
    <t>φ12</t>
  </si>
  <si>
    <t>1.604</t>
  </si>
  <si>
    <t>3160.00</t>
  </si>
  <si>
    <t>124</t>
  </si>
  <si>
    <t>φ12～16</t>
  </si>
  <si>
    <t>18.824</t>
  </si>
  <si>
    <t>125</t>
  </si>
  <si>
    <t>综合</t>
  </si>
  <si>
    <t>0.17</t>
  </si>
  <si>
    <t>126</t>
  </si>
  <si>
    <t>钢丝网骨架塑料(聚乙烯)复合给水管</t>
  </si>
  <si>
    <t>796.633</t>
  </si>
  <si>
    <t>118.57</t>
  </si>
  <si>
    <t>127</t>
  </si>
  <si>
    <t>5.777</t>
  </si>
  <si>
    <t>154.68</t>
  </si>
  <si>
    <t>128</t>
  </si>
  <si>
    <t>DN300</t>
  </si>
  <si>
    <t>10.17</t>
  </si>
  <si>
    <t>337.42</t>
  </si>
  <si>
    <t>129</t>
  </si>
  <si>
    <t>5.999</t>
  </si>
  <si>
    <t>39.86</t>
  </si>
  <si>
    <t>130</t>
  </si>
  <si>
    <t>钢丝网骨架塑料(聚乙烯)复合给水管电熔管件</t>
  </si>
  <si>
    <t>136.566</t>
  </si>
  <si>
    <t>101.67</t>
  </si>
  <si>
    <t>131</t>
  </si>
  <si>
    <t>0.988</t>
  </si>
  <si>
    <t>110.00</t>
  </si>
  <si>
    <t>132</t>
  </si>
  <si>
    <t>1.69</t>
  </si>
  <si>
    <t>120.00</t>
  </si>
  <si>
    <t>133</t>
  </si>
  <si>
    <t>1.661</t>
  </si>
  <si>
    <t>21.19</t>
  </si>
  <si>
    <t>134</t>
  </si>
  <si>
    <t>高温排烟双速风机HTF-II-No.6  L=9703m3/h  H=700Pa</t>
  </si>
  <si>
    <t>N=3kW</t>
  </si>
  <si>
    <t>3605.80</t>
  </si>
  <si>
    <t>高温排烟单速风机</t>
  </si>
  <si>
    <t>135</t>
  </si>
  <si>
    <t>高温排烟双速风机HTF-II-No.6.5 L=12337/h  H=615Pa</t>
  </si>
  <si>
    <t>N=4kW</t>
  </si>
  <si>
    <t>3852.00</t>
  </si>
  <si>
    <t>136</t>
  </si>
  <si>
    <t>高温排烟双速风机HTF-II-No.6.5 L=14302/h  H=680Pa</t>
  </si>
  <si>
    <t>N=5.5kW</t>
  </si>
  <si>
    <t>4125.00</t>
  </si>
  <si>
    <t>137</t>
  </si>
  <si>
    <t>高温排烟双速风机HTF-II-No.9.5  L=35200m3/h  H=784Pa</t>
  </si>
  <si>
    <t>N=11kW</t>
  </si>
  <si>
    <t>4914.00</t>
  </si>
  <si>
    <t>138</t>
  </si>
  <si>
    <t>管道式换气扇 L=250m3/h  H=220Pa  N=14W</t>
  </si>
  <si>
    <t>自带止回阀</t>
  </si>
  <si>
    <t>280.00</t>
  </si>
  <si>
    <t>139</t>
  </si>
  <si>
    <t>管道式换气扇 L=250m3/h  H=220Pa  N=25W N=40W</t>
  </si>
  <si>
    <t>带70℃防火阀</t>
  </si>
  <si>
    <t>140</t>
  </si>
  <si>
    <t>管道式换气扇 L=250m3/h  H=220Pa  N=25W</t>
  </si>
  <si>
    <t>141</t>
  </si>
  <si>
    <t>管道式换气扇 L=400m3/h  H=250Pa N=40W</t>
  </si>
  <si>
    <t>320.00</t>
  </si>
  <si>
    <t>142</t>
  </si>
  <si>
    <t>其中有16台为 L=500m3/h</t>
  </si>
  <si>
    <t>143</t>
  </si>
  <si>
    <t>焊接钢管</t>
  </si>
  <si>
    <t>87.36</t>
  </si>
  <si>
    <t>3.60</t>
  </si>
  <si>
    <t>144</t>
  </si>
  <si>
    <t>焊条</t>
  </si>
  <si>
    <t>186.127</t>
  </si>
  <si>
    <t>4.15</t>
  </si>
  <si>
    <t>145</t>
  </si>
  <si>
    <t>减震台座</t>
  </si>
  <si>
    <t>51.98</t>
  </si>
  <si>
    <t>146</t>
  </si>
  <si>
    <t>脚手架钢材</t>
  </si>
  <si>
    <t>101.205</t>
  </si>
  <si>
    <t>3.40</t>
  </si>
  <si>
    <t>147</t>
  </si>
  <si>
    <t>截止阀</t>
  </si>
  <si>
    <t>438.46</t>
  </si>
  <si>
    <t>148</t>
  </si>
  <si>
    <t>600.00</t>
  </si>
  <si>
    <t>149</t>
  </si>
  <si>
    <t>44.25</t>
  </si>
  <si>
    <t>150</t>
  </si>
  <si>
    <t>静态平衡阀</t>
  </si>
  <si>
    <t>1000.00</t>
  </si>
  <si>
    <t>151</t>
  </si>
  <si>
    <t>锯材</t>
  </si>
  <si>
    <t>0.777</t>
  </si>
  <si>
    <t>152</t>
  </si>
  <si>
    <t>可开铰链式百叶风口(带过滤网)</t>
  </si>
  <si>
    <t>1000*200</t>
  </si>
  <si>
    <t>153</t>
  </si>
  <si>
    <t>400*200</t>
  </si>
  <si>
    <t>154</t>
  </si>
  <si>
    <t>600*200</t>
  </si>
  <si>
    <t>166.00</t>
  </si>
  <si>
    <t>155</t>
  </si>
  <si>
    <t>800*200</t>
  </si>
  <si>
    <t>182.00</t>
  </si>
  <si>
    <t>156</t>
  </si>
  <si>
    <t>空调冷冻水循环泵  流量:138m3/h； 扬程：25m ；功率：15kw ；转速：2960rpm</t>
  </si>
  <si>
    <t>；效率:78%</t>
  </si>
  <si>
    <t>5260.00</t>
  </si>
  <si>
    <t>空调冷冻水循环泵  流量:110m3/h； 扬程：15m ；功率：15kw ；转速：2960rpm</t>
  </si>
  <si>
    <t>157</t>
  </si>
  <si>
    <t>离心式排油烟风机 L=20000m3/</t>
  </si>
  <si>
    <t>H余=600PaN=7.5kW</t>
  </si>
  <si>
    <t>7200.00</t>
  </si>
  <si>
    <t>158</t>
  </si>
  <si>
    <t>离心式排油烟风机 L=26250m3/h H余=600Pa</t>
  </si>
  <si>
    <t>8500.00</t>
  </si>
  <si>
    <t>159</t>
  </si>
  <si>
    <t>砾石</t>
  </si>
  <si>
    <t>5～40mm</t>
  </si>
  <si>
    <t>0.09</t>
  </si>
  <si>
    <t>160</t>
  </si>
  <si>
    <t>绿化覆盖型成品30厚高分子方形井盖</t>
  </si>
  <si>
    <t>196.10</t>
  </si>
  <si>
    <t>161</t>
  </si>
  <si>
    <t>灭火器</t>
  </si>
  <si>
    <t>MF/ABC5</t>
  </si>
  <si>
    <t>44.60</t>
  </si>
  <si>
    <t>162</t>
  </si>
  <si>
    <t>灭火器放置箱</t>
  </si>
  <si>
    <t>16.00</t>
  </si>
  <si>
    <t>163</t>
  </si>
  <si>
    <t>模块化蒸发冷却式涡旋式冷(热)水机组 单台参数QL=143KW,Qr=150KW NL=44KW, Nr=47KW 最大输入功率=60KW</t>
  </si>
  <si>
    <t>最大输入功率=60KW</t>
  </si>
  <si>
    <t>95200.00</t>
  </si>
  <si>
    <t>164</t>
  </si>
  <si>
    <t>膨胀水箱</t>
  </si>
  <si>
    <t>有效容积1.5m3</t>
  </si>
  <si>
    <t>5277.78</t>
  </si>
  <si>
    <t>165</t>
  </si>
  <si>
    <t>普通土</t>
  </si>
  <si>
    <t>305.678</t>
  </si>
  <si>
    <t>10.00</t>
  </si>
  <si>
    <t>166</t>
  </si>
  <si>
    <t>其他材料费</t>
  </si>
  <si>
    <t>元</t>
  </si>
  <si>
    <t>1853.446</t>
  </si>
  <si>
    <t>1.00</t>
  </si>
  <si>
    <t>167</t>
  </si>
  <si>
    <t>汽油(机械)</t>
  </si>
  <si>
    <t>242.37</t>
  </si>
  <si>
    <t>6.57</t>
  </si>
  <si>
    <t>168</t>
  </si>
  <si>
    <t>球磨铸铁井盖井座</t>
  </si>
  <si>
    <t>284.00</t>
  </si>
  <si>
    <t>169</t>
  </si>
  <si>
    <t>φ800</t>
  </si>
  <si>
    <t>324.00</t>
  </si>
  <si>
    <t>170</t>
  </si>
  <si>
    <t>球墨铸铁井盖井座</t>
  </si>
  <si>
    <t>171</t>
  </si>
  <si>
    <t>球形温控旋流风口</t>
  </si>
  <si>
    <t>D300</t>
  </si>
  <si>
    <t>49.49</t>
  </si>
  <si>
    <t>140.80</t>
  </si>
  <si>
    <t>172</t>
  </si>
  <si>
    <t>D400</t>
  </si>
  <si>
    <t>160.00</t>
  </si>
  <si>
    <t>173</t>
  </si>
  <si>
    <t>热镀锌钢管</t>
  </si>
  <si>
    <t>DN25</t>
  </si>
  <si>
    <t>129.93</t>
  </si>
  <si>
    <t>11.00</t>
  </si>
  <si>
    <t>174</t>
  </si>
  <si>
    <t>141.663</t>
  </si>
  <si>
    <t>14.24</t>
  </si>
  <si>
    <t>175</t>
  </si>
  <si>
    <t>热镀锌钢管接头零件</t>
  </si>
  <si>
    <t>149.465</t>
  </si>
  <si>
    <t>4.91</t>
  </si>
  <si>
    <t>176</t>
  </si>
  <si>
    <t>140.52</t>
  </si>
  <si>
    <t>177</t>
  </si>
  <si>
    <t>商品混凝土 C30</t>
  </si>
  <si>
    <t>73.274</t>
  </si>
  <si>
    <t>178</t>
  </si>
  <si>
    <t>商品混凝土</t>
  </si>
  <si>
    <t>C10</t>
  </si>
  <si>
    <t>3.353</t>
  </si>
  <si>
    <t>179</t>
  </si>
  <si>
    <t>C20</t>
  </si>
  <si>
    <t>2.927</t>
  </si>
  <si>
    <t>360.00</t>
  </si>
  <si>
    <t>180</t>
  </si>
  <si>
    <t>C25</t>
  </si>
  <si>
    <t>29.568</t>
  </si>
  <si>
    <t>181</t>
  </si>
  <si>
    <t>20.728</t>
  </si>
  <si>
    <t>182</t>
  </si>
  <si>
    <t>设备间排污泵</t>
  </si>
  <si>
    <t>Q=10m³/h,H=10m,N=0.75kW</t>
  </si>
  <si>
    <t>2663.65</t>
  </si>
  <si>
    <t>183</t>
  </si>
  <si>
    <t>室外机 VRF-B1-1</t>
  </si>
  <si>
    <t>额定功率(KW)：10.7线路电流(A)：26.2荷载（KG）:220</t>
  </si>
  <si>
    <t>13500.00</t>
  </si>
  <si>
    <t>184</t>
  </si>
  <si>
    <t>室外机 VRF-B1-2</t>
  </si>
  <si>
    <t>额定功率(KW)：7.8线路电流(A)：22.2荷载（KG）:220</t>
  </si>
  <si>
    <t>10100.00</t>
  </si>
  <si>
    <t>185</t>
  </si>
  <si>
    <t>室外机 VRF-B1-3</t>
  </si>
  <si>
    <t>额定功率(KW)：19.2线路电流(A)：48荷载（KG）:380</t>
  </si>
  <si>
    <t>36100.00</t>
  </si>
  <si>
    <t>186</t>
  </si>
  <si>
    <t>室外机 VRF-B1-4  5HP 4.5KW</t>
  </si>
  <si>
    <t>制冷量：17.5</t>
  </si>
  <si>
    <t>187</t>
  </si>
  <si>
    <t>室外机 VRF-B1-5  5HP 4.5KW</t>
  </si>
  <si>
    <t>188</t>
  </si>
  <si>
    <t>室外机 VRF-B1-6  10HP 6.8KW</t>
  </si>
  <si>
    <t>线路电流(A)：18.8荷载（KG）:210</t>
  </si>
  <si>
    <t>189</t>
  </si>
  <si>
    <t>室外消火栓</t>
  </si>
  <si>
    <t>SS100/65-1.0</t>
  </si>
  <si>
    <t>796.46</t>
  </si>
  <si>
    <t>190</t>
  </si>
  <si>
    <t>双层百叶风口</t>
  </si>
  <si>
    <t>150*160</t>
  </si>
  <si>
    <t>35.00</t>
  </si>
  <si>
    <t>191</t>
  </si>
  <si>
    <t>300*160</t>
  </si>
  <si>
    <t>33.33</t>
  </si>
  <si>
    <t>40.00</t>
  </si>
  <si>
    <t>192</t>
  </si>
  <si>
    <t>500*200</t>
  </si>
  <si>
    <t>50.00</t>
  </si>
  <si>
    <t>193</t>
  </si>
  <si>
    <t>194</t>
  </si>
  <si>
    <t>34.34</t>
  </si>
  <si>
    <t>56.00</t>
  </si>
  <si>
    <t>195</t>
  </si>
  <si>
    <t>水</t>
  </si>
  <si>
    <t>238.929</t>
  </si>
  <si>
    <t>2.80</t>
  </si>
  <si>
    <t>196</t>
  </si>
  <si>
    <t>水泵变频控制箱</t>
  </si>
  <si>
    <t>197</t>
  </si>
  <si>
    <t>水泥</t>
  </si>
  <si>
    <t>32.5</t>
  </si>
  <si>
    <t>1641.584</t>
  </si>
  <si>
    <t>0.36</t>
  </si>
  <si>
    <t>198</t>
  </si>
  <si>
    <t>水质净化器</t>
  </si>
  <si>
    <t>φ1200</t>
  </si>
  <si>
    <t>47530.00</t>
  </si>
  <si>
    <t>199</t>
  </si>
  <si>
    <t>塑料检查井 井筒直径</t>
  </si>
  <si>
    <t>315mm</t>
  </si>
  <si>
    <t>550.00</t>
  </si>
  <si>
    <t>200</t>
  </si>
  <si>
    <t>塑料检查井</t>
  </si>
  <si>
    <t>井筒直径 700mm</t>
  </si>
  <si>
    <t>201</t>
  </si>
  <si>
    <t>塑料软管</t>
  </si>
  <si>
    <t>De20</t>
  </si>
  <si>
    <t>0.98</t>
  </si>
  <si>
    <t>1.07</t>
  </si>
  <si>
    <t>202</t>
  </si>
  <si>
    <t>碎石</t>
  </si>
  <si>
    <t>20～50mm</t>
  </si>
  <si>
    <t>0.347</t>
  </si>
  <si>
    <t>203</t>
  </si>
  <si>
    <t>摊销卡具和支撑钢材</t>
  </si>
  <si>
    <t>158.284</t>
  </si>
  <si>
    <t>2.964</t>
  </si>
  <si>
    <t>204</t>
  </si>
  <si>
    <t>碳钢法兰</t>
  </si>
  <si>
    <t>片</t>
  </si>
  <si>
    <t>41.41</t>
  </si>
  <si>
    <t>205</t>
  </si>
  <si>
    <t>碳钢平焊法兰</t>
  </si>
  <si>
    <t>副</t>
  </si>
  <si>
    <t>88.40</t>
  </si>
  <si>
    <t>206</t>
  </si>
  <si>
    <t>67.50</t>
  </si>
  <si>
    <t>207</t>
  </si>
  <si>
    <t>86.50</t>
  </si>
  <si>
    <t>208</t>
  </si>
  <si>
    <t>20.93</t>
  </si>
  <si>
    <t>209</t>
  </si>
  <si>
    <t>特细砂</t>
  </si>
  <si>
    <t>4.804</t>
  </si>
  <si>
    <t>210</t>
  </si>
  <si>
    <t>铁件</t>
  </si>
  <si>
    <t>22.512</t>
  </si>
  <si>
    <t>3.37</t>
  </si>
  <si>
    <t>211</t>
  </si>
  <si>
    <t>土工布</t>
  </si>
  <si>
    <t>0.112</t>
  </si>
  <si>
    <t>3.02</t>
  </si>
  <si>
    <t>212</t>
  </si>
  <si>
    <t>脱氧亚磷无缝铜管</t>
  </si>
  <si>
    <t>Φ12.7</t>
  </si>
  <si>
    <t>75.837</t>
  </si>
  <si>
    <t>34.39</t>
  </si>
  <si>
    <t>213</t>
  </si>
  <si>
    <t>Φ15.9</t>
  </si>
  <si>
    <t>125.623</t>
  </si>
  <si>
    <t>36.98</t>
  </si>
  <si>
    <t>214</t>
  </si>
  <si>
    <t>Φ6.4</t>
  </si>
  <si>
    <t>76.209</t>
  </si>
  <si>
    <t>12.32</t>
  </si>
  <si>
    <t>215</t>
  </si>
  <si>
    <t>Φ9.5</t>
  </si>
  <si>
    <t>126.239</t>
  </si>
  <si>
    <t>25.00</t>
  </si>
  <si>
    <t>216</t>
  </si>
  <si>
    <t>温度计</t>
  </si>
  <si>
    <t>74.78</t>
  </si>
  <si>
    <t>217</t>
  </si>
  <si>
    <t>卧式自动清洗复合式油烟净化器 L=20000m3/h</t>
  </si>
  <si>
    <t>N=0.12kW</t>
  </si>
  <si>
    <t>22700.00</t>
  </si>
  <si>
    <t>218</t>
  </si>
  <si>
    <t>卧式自动清洗复合式油烟净化器 L=25000m3/h</t>
  </si>
  <si>
    <t>N=0.135kW</t>
  </si>
  <si>
    <t>25800.00</t>
  </si>
  <si>
    <t>219</t>
  </si>
  <si>
    <t>无缝钢管</t>
  </si>
  <si>
    <t>155.784</t>
  </si>
  <si>
    <t>44.08</t>
  </si>
  <si>
    <t>220</t>
  </si>
  <si>
    <t>DN125</t>
  </si>
  <si>
    <t>18.227</t>
  </si>
  <si>
    <t>68.60</t>
  </si>
  <si>
    <t>221</t>
  </si>
  <si>
    <t>517.64</t>
  </si>
  <si>
    <t>93.70</t>
  </si>
  <si>
    <t>222</t>
  </si>
  <si>
    <t>256.1</t>
  </si>
  <si>
    <t>175.43</t>
  </si>
  <si>
    <t>223</t>
  </si>
  <si>
    <t>228.186</t>
  </si>
  <si>
    <t>28.00</t>
  </si>
  <si>
    <t>224</t>
  </si>
  <si>
    <t>DN70</t>
  </si>
  <si>
    <t>1.093</t>
  </si>
  <si>
    <t>30.50</t>
  </si>
  <si>
    <t>225</t>
  </si>
  <si>
    <t>DN85</t>
  </si>
  <si>
    <t>17.412</t>
  </si>
  <si>
    <t>38.03</t>
  </si>
  <si>
    <t>226</t>
  </si>
  <si>
    <t>无机盐铝防水剂</t>
  </si>
  <si>
    <t>15.27</t>
  </si>
  <si>
    <t>3.98</t>
  </si>
  <si>
    <t>227</t>
  </si>
  <si>
    <t>细砂</t>
  </si>
  <si>
    <t>0.065</t>
  </si>
  <si>
    <t>228</t>
  </si>
  <si>
    <t>橡胶减震垫</t>
  </si>
  <si>
    <t>15.00</t>
  </si>
  <si>
    <t>229</t>
  </si>
  <si>
    <t>消火栓三通</t>
  </si>
  <si>
    <t>95.30</t>
  </si>
  <si>
    <t>230</t>
  </si>
  <si>
    <t>消火栓系统水泵接合器</t>
  </si>
  <si>
    <t>1589.00</t>
  </si>
  <si>
    <t>231</t>
  </si>
  <si>
    <t>消声静压箱 WB1.5</t>
  </si>
  <si>
    <t>800*400*1000</t>
  </si>
  <si>
    <t>1521.00</t>
  </si>
  <si>
    <t>232</t>
  </si>
  <si>
    <t>消声静压箱 ZK1.5</t>
  </si>
  <si>
    <t>1500*1200*1500</t>
  </si>
  <si>
    <t>1954.00</t>
  </si>
  <si>
    <t>233</t>
  </si>
  <si>
    <t>消声静压箱 ZK2.0</t>
  </si>
  <si>
    <t>234</t>
  </si>
  <si>
    <t>消声静压箱</t>
  </si>
  <si>
    <t>1300*1000*600</t>
  </si>
  <si>
    <t>1685.00</t>
  </si>
  <si>
    <t>235</t>
  </si>
  <si>
    <t>236</t>
  </si>
  <si>
    <t>1800*600*800</t>
  </si>
  <si>
    <t>237</t>
  </si>
  <si>
    <t>3600*600*600</t>
  </si>
  <si>
    <t>1984.00</t>
  </si>
  <si>
    <t>238</t>
  </si>
  <si>
    <t>新风机 OA-1500</t>
  </si>
  <si>
    <t>制冷量：18KW，制热量：14KW，额定功率：0.6KW，风量：1500m³/h，静压：196Pa</t>
  </si>
  <si>
    <t>2860.00</t>
  </si>
  <si>
    <t>239</t>
  </si>
  <si>
    <t>新风机 OA-2000</t>
  </si>
  <si>
    <t>制冷量：22KW，制热量：13.7KW，额定功率：0.89KW，风量：2000m³/h，静压：196Pa</t>
  </si>
  <si>
    <t>3480.00</t>
  </si>
  <si>
    <t>240</t>
  </si>
  <si>
    <t>新风机 OA-800</t>
  </si>
  <si>
    <t>制冷量：12KW，制热量：10KW，额定功率：0.5KW，风量：800m³/h，静压：196Pa</t>
  </si>
  <si>
    <t>1560.00</t>
  </si>
  <si>
    <t>241</t>
  </si>
  <si>
    <t>型钢</t>
  </si>
  <si>
    <t>1631.926</t>
  </si>
  <si>
    <t>3.45</t>
  </si>
  <si>
    <t>242</t>
  </si>
  <si>
    <t>612.024</t>
  </si>
  <si>
    <t>243</t>
  </si>
  <si>
    <t>蓄水池排污泵</t>
  </si>
  <si>
    <t>Q=15m³/h,H=20m,N=2.2kW</t>
  </si>
  <si>
    <t>4738.00</t>
  </si>
  <si>
    <t>244</t>
  </si>
  <si>
    <t>压力表</t>
  </si>
  <si>
    <t>27.33</t>
  </si>
  <si>
    <t>245</t>
  </si>
  <si>
    <t>压制弯头</t>
  </si>
  <si>
    <t>15.12</t>
  </si>
  <si>
    <t>37.00</t>
  </si>
  <si>
    <t>246</t>
  </si>
  <si>
    <t>3.127</t>
  </si>
  <si>
    <t>48.00</t>
  </si>
  <si>
    <t>247</t>
  </si>
  <si>
    <t>91.348</t>
  </si>
  <si>
    <t>58.00</t>
  </si>
  <si>
    <t>248</t>
  </si>
  <si>
    <t>46.449</t>
  </si>
  <si>
    <t>82.00</t>
  </si>
  <si>
    <t>249</t>
  </si>
  <si>
    <t>15.783</t>
  </si>
  <si>
    <t>22.50</t>
  </si>
  <si>
    <t>250</t>
  </si>
  <si>
    <t>0.076</t>
  </si>
  <si>
    <t>23.00</t>
  </si>
  <si>
    <t>251</t>
  </si>
  <si>
    <t>1.263</t>
  </si>
  <si>
    <t>252</t>
  </si>
  <si>
    <t>岩棉板</t>
  </si>
  <si>
    <t>17.16</t>
  </si>
  <si>
    <t>265.00</t>
  </si>
  <si>
    <t>253</t>
  </si>
  <si>
    <t>雨水回用泵</t>
  </si>
  <si>
    <t>254</t>
  </si>
  <si>
    <t>预制沟盖板、井盖板</t>
  </si>
  <si>
    <t>2.703</t>
  </si>
  <si>
    <t>1118.00</t>
  </si>
  <si>
    <t>255</t>
  </si>
  <si>
    <t>预制混凝土井筒</t>
  </si>
  <si>
    <t>0.7</t>
  </si>
  <si>
    <t>356.19</t>
  </si>
  <si>
    <t>256</t>
  </si>
  <si>
    <t>遇水膨胀止水带</t>
  </si>
  <si>
    <t>30×20</t>
  </si>
  <si>
    <t>2.22</t>
  </si>
  <si>
    <t>257</t>
  </si>
  <si>
    <t>远传水表</t>
  </si>
  <si>
    <t xml:space="preserve">组  </t>
  </si>
  <si>
    <t>1250.00</t>
  </si>
  <si>
    <t>258</t>
  </si>
  <si>
    <t>259</t>
  </si>
  <si>
    <t>260</t>
  </si>
  <si>
    <t>增强聚丙烯(FRPP)模压排水管</t>
  </si>
  <si>
    <t>434.704</t>
  </si>
  <si>
    <t>97.35</t>
  </si>
  <si>
    <t>261</t>
  </si>
  <si>
    <t>DN400</t>
  </si>
  <si>
    <t>334.31</t>
  </si>
  <si>
    <t>136.78</t>
  </si>
  <si>
    <t>262</t>
  </si>
  <si>
    <t>DN500</t>
  </si>
  <si>
    <t>329.361</t>
  </si>
  <si>
    <t>213.30</t>
  </si>
  <si>
    <t>263</t>
  </si>
  <si>
    <t>DN600</t>
  </si>
  <si>
    <t>167.458</t>
  </si>
  <si>
    <t>264.53</t>
  </si>
  <si>
    <t>264</t>
  </si>
  <si>
    <t>渣场费</t>
  </si>
  <si>
    <t>93.205</t>
  </si>
  <si>
    <t>13.00</t>
  </si>
  <si>
    <t>265</t>
  </si>
  <si>
    <t>闸阀</t>
  </si>
  <si>
    <t>513.27</t>
  </si>
  <si>
    <t>266</t>
  </si>
  <si>
    <t>949.00</t>
  </si>
  <si>
    <t>267</t>
  </si>
  <si>
    <t>144.41</t>
  </si>
  <si>
    <t>268</t>
  </si>
  <si>
    <t>止回阀</t>
  </si>
  <si>
    <t>209.21</t>
  </si>
  <si>
    <t>269</t>
  </si>
  <si>
    <t>31.31</t>
  </si>
  <si>
    <t>34.83</t>
  </si>
  <si>
    <t>270</t>
  </si>
  <si>
    <t>320*320</t>
  </si>
  <si>
    <t>55.73</t>
  </si>
  <si>
    <t>271</t>
  </si>
  <si>
    <t>54.43</t>
  </si>
  <si>
    <t>272</t>
  </si>
  <si>
    <t>69.66</t>
  </si>
  <si>
    <t>273</t>
  </si>
  <si>
    <t>87.08</t>
  </si>
  <si>
    <t>274</t>
  </si>
  <si>
    <t>98.80</t>
  </si>
  <si>
    <t>275</t>
  </si>
  <si>
    <t>110.50</t>
  </si>
  <si>
    <t>276</t>
  </si>
  <si>
    <t>85.20</t>
  </si>
  <si>
    <t>277</t>
  </si>
  <si>
    <t>124.80</t>
  </si>
  <si>
    <t>278</t>
  </si>
  <si>
    <t>1032.10</t>
  </si>
  <si>
    <t>279</t>
  </si>
  <si>
    <t>中粗砂</t>
  </si>
  <si>
    <t>417.774</t>
  </si>
  <si>
    <t>280</t>
  </si>
  <si>
    <t>重型球墨铸铁双层井盖(带锁)</t>
  </si>
  <si>
    <t>635.00</t>
  </si>
  <si>
    <t>281</t>
  </si>
  <si>
    <t>铸铁井篦750*450</t>
  </si>
  <si>
    <t>24.24</t>
  </si>
  <si>
    <t>335.00</t>
  </si>
  <si>
    <t>282</t>
  </si>
  <si>
    <t>紫外线水处理器</t>
  </si>
  <si>
    <t>UVA-120,处理量:15m³/h</t>
  </si>
  <si>
    <t>23853.00</t>
  </si>
  <si>
    <t>283</t>
  </si>
  <si>
    <t>自动排气阀</t>
  </si>
  <si>
    <t>66.50</t>
  </si>
  <si>
    <t>284</t>
  </si>
  <si>
    <t>自喷系统水泵接合器</t>
  </si>
  <si>
    <t>285</t>
  </si>
  <si>
    <t>组合式空调机组</t>
  </si>
  <si>
    <t>风量：15000m3/h，冷量：101KW，热量：158KW，水阻力：8.9kPa，功率：5.5KW,机外静压：600Pa</t>
  </si>
  <si>
    <t>123000.00</t>
  </si>
  <si>
    <t>286</t>
  </si>
  <si>
    <t>风量：35000m3/h，冷量：278KW，热量：392KW，水阻力：8.9kPa，功率：15KW,机外静压：600Pa</t>
  </si>
  <si>
    <t>220000.00</t>
  </si>
  <si>
    <t>287</t>
  </si>
  <si>
    <t>合  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</si>
</sst>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2"/>
      <name val="宋体"/>
      <charset val="134"/>
    </font>
    <font>
      <sz val="16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0" xfId="0" applyFill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90"/>
  <sheetViews>
    <sheetView tabSelected="1" workbookViewId="0">
      <pane ySplit="3" topLeftCell="A270" activePane="bottomLeft" state="frozen"/>
      <selection/>
      <selection pane="bottomLeft" activeCell="B140" sqref="B140"/>
    </sheetView>
  </sheetViews>
  <sheetFormatPr defaultColWidth="9" defaultRowHeight="14.25" customHeight="1"/>
  <cols>
    <col min="1" max="1" width="5.5" customWidth="1"/>
    <col min="2" max="2" width="26.1" customWidth="1"/>
    <col min="3" max="3" width="13" customWidth="1"/>
    <col min="4" max="4" width="6.2" customWidth="1"/>
    <col min="5" max="5" width="13.2" customWidth="1"/>
    <col min="6" max="6" width="11.1" style="2" customWidth="1"/>
    <col min="7" max="7" width="9" style="2"/>
    <col min="8" max="12" width="9.5" style="2"/>
    <col min="13" max="13" width="9" style="2"/>
    <col min="14" max="14" width="9" style="2" hidden="1" customWidth="1"/>
    <col min="15" max="15" width="12.8" style="2" hidden="1" customWidth="1"/>
    <col min="16" max="16" width="16.2" hidden="1" customWidth="1"/>
    <col min="17" max="17" width="25.2" customWidth="1"/>
    <col min="18" max="18" width="24" customWidth="1"/>
    <col min="19" max="19" width="11.9" style="3" customWidth="1"/>
    <col min="20" max="22" width="9" customWidth="1"/>
  </cols>
  <sheetData>
    <row r="1" ht="29.4" customHeight="1" spans="1:17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15.6" customHeight="1" spans="1:17">
      <c r="A2" s="5" t="s">
        <v>1</v>
      </c>
      <c r="B2" s="5"/>
      <c r="C2" s="5"/>
      <c r="D2" s="5"/>
      <c r="E2" s="5"/>
      <c r="F2" s="6"/>
    </row>
    <row r="3" ht="18" customHeight="1" spans="1:17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  <c r="H3" s="8" t="s">
        <v>9</v>
      </c>
      <c r="I3" s="9" t="s">
        <v>10</v>
      </c>
      <c r="J3" s="10"/>
      <c r="K3" s="11"/>
      <c r="L3" s="8" t="s">
        <v>11</v>
      </c>
      <c r="M3" s="8" t="s">
        <v>12</v>
      </c>
      <c r="P3" t="s">
        <v>13</v>
      </c>
      <c r="Q3" t="s">
        <v>14</v>
      </c>
    </row>
    <row r="4" ht="17.4" customHeight="1" spans="1:17">
      <c r="A4" s="7" t="s">
        <v>15</v>
      </c>
      <c r="B4" s="12" t="s">
        <v>16</v>
      </c>
      <c r="C4" s="12" t="s">
        <v>17</v>
      </c>
      <c r="D4" s="7" t="s">
        <v>18</v>
      </c>
      <c r="E4" s="13">
        <v>1.01</v>
      </c>
      <c r="F4" s="7">
        <v>100</v>
      </c>
      <c r="G4" s="8">
        <v>100</v>
      </c>
      <c r="H4" s="8">
        <v>0</v>
      </c>
      <c r="I4" s="8">
        <v>145.3</v>
      </c>
      <c r="J4" s="8">
        <v>157.8</v>
      </c>
      <c r="K4" s="8">
        <v>165.2</v>
      </c>
      <c r="L4" s="8"/>
      <c r="M4" s="8" t="s">
        <v>19</v>
      </c>
      <c r="P4">
        <f>F4-H4</f>
        <v>100</v>
      </c>
    </row>
    <row r="5" ht="17.4" customHeight="1" spans="1:17">
      <c r="A5" s="7" t="s">
        <v>20</v>
      </c>
      <c r="B5" s="12" t="s">
        <v>16</v>
      </c>
      <c r="C5" s="12" t="s">
        <v>21</v>
      </c>
      <c r="D5" s="7" t="s">
        <v>18</v>
      </c>
      <c r="E5" s="13">
        <v>30.3</v>
      </c>
      <c r="F5" s="7">
        <v>110</v>
      </c>
      <c r="G5" s="8">
        <v>110</v>
      </c>
      <c r="H5" s="8">
        <v>0</v>
      </c>
      <c r="I5" s="8">
        <v>113.39</v>
      </c>
      <c r="J5" s="8">
        <v>131.13</v>
      </c>
      <c r="K5" s="8">
        <v>145.2</v>
      </c>
      <c r="L5" s="8"/>
      <c r="M5" s="8" t="s">
        <v>19</v>
      </c>
      <c r="P5">
        <f t="shared" ref="P5:P68" si="0">F5-H5</f>
        <v>110</v>
      </c>
    </row>
    <row r="6" ht="17.4" customHeight="1" spans="1:17">
      <c r="A6" s="7" t="s">
        <v>22</v>
      </c>
      <c r="B6" s="12" t="s">
        <v>16</v>
      </c>
      <c r="C6" s="12" t="s">
        <v>23</v>
      </c>
      <c r="D6" s="7" t="s">
        <v>18</v>
      </c>
      <c r="E6" s="13">
        <v>4.04</v>
      </c>
      <c r="F6" s="7" t="s">
        <v>24</v>
      </c>
      <c r="G6" s="8">
        <v>136</v>
      </c>
      <c r="H6" s="8">
        <v>106.98</v>
      </c>
      <c r="I6" s="8">
        <v>173.2</v>
      </c>
      <c r="J6" s="8">
        <v>185.3</v>
      </c>
      <c r="K6" s="8">
        <v>197.8</v>
      </c>
      <c r="L6" s="8"/>
      <c r="M6" s="8" t="s">
        <v>19</v>
      </c>
      <c r="P6">
        <f t="shared" si="0"/>
        <v>29.02</v>
      </c>
    </row>
    <row r="7" ht="17.4" customHeight="1" spans="1:17">
      <c r="A7" s="7" t="s">
        <v>25</v>
      </c>
      <c r="B7" s="12" t="s">
        <v>16</v>
      </c>
      <c r="C7" s="12" t="s">
        <v>26</v>
      </c>
      <c r="D7" s="7" t="s">
        <v>18</v>
      </c>
      <c r="E7" s="13" t="s">
        <v>27</v>
      </c>
      <c r="F7" s="7" t="s">
        <v>28</v>
      </c>
      <c r="G7" s="8">
        <v>145</v>
      </c>
      <c r="H7" s="8">
        <v>0</v>
      </c>
      <c r="I7" s="8">
        <v>185.3</v>
      </c>
      <c r="J7" s="8">
        <v>190.52</v>
      </c>
      <c r="K7" s="8">
        <v>212.3</v>
      </c>
      <c r="L7" s="8"/>
      <c r="M7" s="8" t="s">
        <v>19</v>
      </c>
      <c r="P7">
        <f t="shared" si="0"/>
        <v>145</v>
      </c>
    </row>
    <row r="8" ht="17.4" customHeight="1" spans="1:17">
      <c r="A8" s="7" t="s">
        <v>29</v>
      </c>
      <c r="B8" s="12" t="s">
        <v>16</v>
      </c>
      <c r="C8" s="12" t="s">
        <v>30</v>
      </c>
      <c r="D8" s="7" t="s">
        <v>18</v>
      </c>
      <c r="E8" s="13" t="s">
        <v>31</v>
      </c>
      <c r="F8" s="7" t="s">
        <v>28</v>
      </c>
      <c r="G8" s="8">
        <v>145</v>
      </c>
      <c r="H8" s="8">
        <v>0</v>
      </c>
      <c r="I8" s="8">
        <v>215.4</v>
      </c>
      <c r="J8" s="8">
        <v>245.3</v>
      </c>
      <c r="K8" s="8">
        <v>265.3</v>
      </c>
      <c r="L8" s="8"/>
      <c r="M8" s="8" t="s">
        <v>19</v>
      </c>
      <c r="P8">
        <f t="shared" si="0"/>
        <v>145</v>
      </c>
    </row>
    <row r="9" ht="17.4" customHeight="1" spans="1:17">
      <c r="A9" s="7" t="s">
        <v>32</v>
      </c>
      <c r="B9" s="12" t="s">
        <v>16</v>
      </c>
      <c r="C9" s="12" t="s">
        <v>33</v>
      </c>
      <c r="D9" s="7" t="s">
        <v>18</v>
      </c>
      <c r="E9" s="13" t="s">
        <v>34</v>
      </c>
      <c r="F9" s="7" t="s">
        <v>35</v>
      </c>
      <c r="G9" s="8">
        <v>200</v>
      </c>
      <c r="H9" s="8">
        <v>160.81</v>
      </c>
      <c r="I9" s="8">
        <v>345.7</v>
      </c>
      <c r="J9" s="8">
        <v>365.2</v>
      </c>
      <c r="K9" s="8">
        <v>389.7</v>
      </c>
      <c r="L9" s="8"/>
      <c r="M9" s="8" t="s">
        <v>19</v>
      </c>
      <c r="P9">
        <f t="shared" si="0"/>
        <v>39.19</v>
      </c>
    </row>
    <row r="10" ht="17.4" customHeight="1" spans="1:17">
      <c r="A10" s="7" t="s">
        <v>36</v>
      </c>
      <c r="B10" s="12" t="s">
        <v>16</v>
      </c>
      <c r="C10" s="12" t="s">
        <v>37</v>
      </c>
      <c r="D10" s="7" t="s">
        <v>18</v>
      </c>
      <c r="E10" s="13" t="s">
        <v>34</v>
      </c>
      <c r="F10" s="7" t="s">
        <v>38</v>
      </c>
      <c r="G10" s="8">
        <v>180</v>
      </c>
      <c r="H10" s="8">
        <v>0</v>
      </c>
      <c r="I10" s="8">
        <v>354.6</v>
      </c>
      <c r="J10" s="8">
        <v>365.4</v>
      </c>
      <c r="K10" s="8">
        <v>398.7</v>
      </c>
      <c r="L10" s="8"/>
      <c r="M10" s="8" t="s">
        <v>19</v>
      </c>
      <c r="P10">
        <f t="shared" si="0"/>
        <v>180</v>
      </c>
    </row>
    <row r="11" ht="17.4" customHeight="1" spans="1:17">
      <c r="A11" s="7" t="s">
        <v>39</v>
      </c>
      <c r="B11" s="12" t="s">
        <v>40</v>
      </c>
      <c r="C11" s="12" t="s">
        <v>41</v>
      </c>
      <c r="D11" s="7" t="s">
        <v>18</v>
      </c>
      <c r="E11" s="13" t="s">
        <v>31</v>
      </c>
      <c r="F11" s="7" t="s">
        <v>42</v>
      </c>
      <c r="G11" s="8">
        <v>582</v>
      </c>
      <c r="H11" s="8">
        <v>356.63</v>
      </c>
      <c r="I11" s="8">
        <v>1654.3</v>
      </c>
      <c r="J11" s="8">
        <v>1715.3</v>
      </c>
      <c r="K11" s="8">
        <v>1815.2</v>
      </c>
      <c r="L11" s="8"/>
      <c r="M11" s="8" t="s">
        <v>19</v>
      </c>
      <c r="P11">
        <f t="shared" si="0"/>
        <v>225.37</v>
      </c>
    </row>
    <row r="12" ht="17.4" customHeight="1" spans="1:17">
      <c r="A12" s="7" t="s">
        <v>43</v>
      </c>
      <c r="B12" s="12" t="s">
        <v>40</v>
      </c>
      <c r="C12" s="12" t="s">
        <v>44</v>
      </c>
      <c r="D12" s="7" t="s">
        <v>18</v>
      </c>
      <c r="E12" s="13" t="s">
        <v>31</v>
      </c>
      <c r="F12" s="14">
        <v>450</v>
      </c>
      <c r="G12" s="8">
        <v>450</v>
      </c>
      <c r="H12" s="8">
        <v>607.36</v>
      </c>
      <c r="I12" s="8">
        <v>1051.2</v>
      </c>
      <c r="J12" s="8">
        <v>1152.3</v>
      </c>
      <c r="K12" s="8">
        <v>1254.6</v>
      </c>
      <c r="L12" s="8"/>
      <c r="M12" s="8" t="s">
        <v>19</v>
      </c>
      <c r="P12">
        <f t="shared" si="0"/>
        <v>-157.36</v>
      </c>
    </row>
    <row r="13" ht="17.4" customHeight="1" spans="1:17">
      <c r="A13" s="7" t="s">
        <v>45</v>
      </c>
      <c r="B13" s="12" t="s">
        <v>40</v>
      </c>
      <c r="C13" s="12" t="s">
        <v>26</v>
      </c>
      <c r="D13" s="7" t="s">
        <v>18</v>
      </c>
      <c r="E13" s="13" t="s">
        <v>46</v>
      </c>
      <c r="F13" s="7" t="s">
        <v>47</v>
      </c>
      <c r="G13" s="8">
        <v>210</v>
      </c>
      <c r="H13" s="8">
        <v>139.2</v>
      </c>
      <c r="I13" s="8">
        <v>245.3</v>
      </c>
      <c r="J13" s="8">
        <v>284.88</v>
      </c>
      <c r="K13" s="8">
        <v>293.5</v>
      </c>
      <c r="L13" s="8"/>
      <c r="M13" s="8" t="s">
        <v>19</v>
      </c>
      <c r="P13">
        <f t="shared" si="0"/>
        <v>70.8</v>
      </c>
    </row>
    <row r="14" ht="17.4" customHeight="1" spans="1:17">
      <c r="A14" s="7" t="s">
        <v>48</v>
      </c>
      <c r="B14" s="12" t="s">
        <v>40</v>
      </c>
      <c r="C14" s="12" t="s">
        <v>49</v>
      </c>
      <c r="D14" s="7" t="s">
        <v>18</v>
      </c>
      <c r="E14" s="13" t="s">
        <v>50</v>
      </c>
      <c r="F14" s="7" t="s">
        <v>51</v>
      </c>
      <c r="G14" s="8">
        <v>201</v>
      </c>
      <c r="H14" s="8">
        <v>190.21</v>
      </c>
      <c r="I14" s="8">
        <v>385.2</v>
      </c>
      <c r="J14" s="8">
        <v>397.3</v>
      </c>
      <c r="K14" s="8">
        <v>400.1</v>
      </c>
      <c r="L14" s="8"/>
      <c r="M14" s="8" t="s">
        <v>19</v>
      </c>
      <c r="P14">
        <f t="shared" si="0"/>
        <v>10.79</v>
      </c>
    </row>
    <row r="15" ht="17.4" customHeight="1" spans="1:17">
      <c r="A15" s="7" t="s">
        <v>52</v>
      </c>
      <c r="B15" s="12" t="s">
        <v>53</v>
      </c>
      <c r="C15" s="12" t="s">
        <v>54</v>
      </c>
      <c r="D15" s="7" t="s">
        <v>55</v>
      </c>
      <c r="E15" s="13" t="s">
        <v>56</v>
      </c>
      <c r="F15" s="7" t="s">
        <v>38</v>
      </c>
      <c r="G15" s="8">
        <v>180</v>
      </c>
      <c r="H15" s="8">
        <v>0</v>
      </c>
      <c r="I15" s="8">
        <v>244.08</v>
      </c>
      <c r="J15" s="8">
        <v>257.44</v>
      </c>
      <c r="K15" s="8">
        <v>255.26</v>
      </c>
      <c r="L15" s="8"/>
      <c r="M15" s="8" t="s">
        <v>19</v>
      </c>
      <c r="P15">
        <f t="shared" si="0"/>
        <v>180</v>
      </c>
    </row>
    <row r="16" ht="17.4" customHeight="1" spans="1:17">
      <c r="A16" s="7" t="s">
        <v>57</v>
      </c>
      <c r="B16" s="12" t="s">
        <v>58</v>
      </c>
      <c r="C16" s="12" t="s">
        <v>59</v>
      </c>
      <c r="D16" s="7" t="s">
        <v>18</v>
      </c>
      <c r="E16" s="13" t="s">
        <v>27</v>
      </c>
      <c r="F16" s="7" t="s">
        <v>60</v>
      </c>
      <c r="G16" s="8">
        <v>125.38</v>
      </c>
      <c r="H16" s="8">
        <v>82.13</v>
      </c>
      <c r="I16" s="8">
        <v>129.24</v>
      </c>
      <c r="J16" s="8">
        <v>160.46</v>
      </c>
      <c r="K16" s="8">
        <v>171.2</v>
      </c>
      <c r="L16" s="8"/>
      <c r="M16" s="8" t="s">
        <v>19</v>
      </c>
      <c r="P16">
        <f t="shared" si="0"/>
        <v>43.25</v>
      </c>
    </row>
    <row r="17" ht="17.4" customHeight="1" spans="1:16">
      <c r="A17" s="7" t="s">
        <v>61</v>
      </c>
      <c r="B17" s="12" t="s">
        <v>58</v>
      </c>
      <c r="C17" s="12" t="s">
        <v>62</v>
      </c>
      <c r="D17" s="7" t="s">
        <v>18</v>
      </c>
      <c r="E17" s="13" t="s">
        <v>63</v>
      </c>
      <c r="F17" s="7" t="s">
        <v>64</v>
      </c>
      <c r="G17" s="8">
        <v>266.58</v>
      </c>
      <c r="H17" s="8">
        <v>0</v>
      </c>
      <c r="I17" s="8">
        <v>274.78</v>
      </c>
      <c r="J17" s="8">
        <v>331.75</v>
      </c>
      <c r="K17" s="8">
        <v>352.6</v>
      </c>
      <c r="L17" s="8"/>
      <c r="M17" s="8" t="s">
        <v>19</v>
      </c>
      <c r="P17">
        <f t="shared" si="0"/>
        <v>266.58</v>
      </c>
    </row>
    <row r="18" ht="17.4" customHeight="1" spans="1:16">
      <c r="A18" s="7" t="s">
        <v>65</v>
      </c>
      <c r="B18" s="12" t="s">
        <v>58</v>
      </c>
      <c r="C18" s="12" t="s">
        <v>33</v>
      </c>
      <c r="D18" s="7" t="s">
        <v>18</v>
      </c>
      <c r="E18" s="13" t="s">
        <v>34</v>
      </c>
      <c r="F18" s="7" t="s">
        <v>66</v>
      </c>
      <c r="G18" s="8">
        <v>366.54</v>
      </c>
      <c r="H18" s="8">
        <v>0</v>
      </c>
      <c r="I18" s="8">
        <v>377.81</v>
      </c>
      <c r="J18" s="8">
        <v>415.17</v>
      </c>
      <c r="K18" s="8">
        <v>439.99</v>
      </c>
      <c r="L18" s="8"/>
      <c r="M18" s="8" t="s">
        <v>19</v>
      </c>
      <c r="P18">
        <f t="shared" si="0"/>
        <v>366.54</v>
      </c>
    </row>
    <row r="19" ht="17.4" customHeight="1" spans="1:16">
      <c r="A19" s="7" t="s">
        <v>67</v>
      </c>
      <c r="B19" s="12" t="s">
        <v>58</v>
      </c>
      <c r="C19" s="12" t="s">
        <v>68</v>
      </c>
      <c r="D19" s="7" t="s">
        <v>18</v>
      </c>
      <c r="E19" s="13" t="s">
        <v>34</v>
      </c>
      <c r="F19" s="7" t="s">
        <v>69</v>
      </c>
      <c r="G19" s="8">
        <v>370.77</v>
      </c>
      <c r="H19" s="8">
        <v>168.59</v>
      </c>
      <c r="I19" s="8">
        <v>382.18</v>
      </c>
      <c r="J19" s="8">
        <v>486.21</v>
      </c>
      <c r="K19" s="8">
        <v>512.3</v>
      </c>
      <c r="L19" s="8"/>
      <c r="M19" s="8" t="s">
        <v>19</v>
      </c>
      <c r="P19">
        <f t="shared" si="0"/>
        <v>202.18</v>
      </c>
    </row>
    <row r="20" ht="17.4" customHeight="1" spans="1:16">
      <c r="A20" s="7" t="s">
        <v>70</v>
      </c>
      <c r="B20" s="12" t="s">
        <v>71</v>
      </c>
      <c r="C20" s="12" t="s">
        <v>72</v>
      </c>
      <c r="D20" s="7" t="s">
        <v>18</v>
      </c>
      <c r="E20" s="13" t="s">
        <v>27</v>
      </c>
      <c r="F20" s="7" t="s">
        <v>73</v>
      </c>
      <c r="G20" s="8">
        <v>88</v>
      </c>
      <c r="H20" s="8">
        <v>0</v>
      </c>
      <c r="I20" s="8">
        <v>115.2</v>
      </c>
      <c r="J20" s="8">
        <v>135.2</v>
      </c>
      <c r="K20" s="8">
        <v>158.9</v>
      </c>
      <c r="L20" s="8"/>
      <c r="M20" s="8" t="s">
        <v>19</v>
      </c>
      <c r="P20">
        <f t="shared" si="0"/>
        <v>88</v>
      </c>
    </row>
    <row r="21" ht="17.4" customHeight="1" spans="1:16">
      <c r="A21" s="7" t="s">
        <v>74</v>
      </c>
      <c r="B21" s="12" t="s">
        <v>71</v>
      </c>
      <c r="C21" s="12" t="s">
        <v>75</v>
      </c>
      <c r="D21" s="7" t="s">
        <v>18</v>
      </c>
      <c r="E21" s="13" t="s">
        <v>27</v>
      </c>
      <c r="F21" s="7" t="s">
        <v>76</v>
      </c>
      <c r="G21" s="8">
        <v>220</v>
      </c>
      <c r="H21" s="8">
        <v>0</v>
      </c>
      <c r="I21" s="8">
        <v>515.6</v>
      </c>
      <c r="J21" s="8">
        <v>613.5</v>
      </c>
      <c r="K21" s="8">
        <v>687.5</v>
      </c>
      <c r="L21" s="8"/>
      <c r="M21" s="8" t="s">
        <v>19</v>
      </c>
      <c r="P21">
        <f t="shared" si="0"/>
        <v>220</v>
      </c>
    </row>
    <row r="22" ht="17.4" customHeight="1" spans="1:16">
      <c r="A22" s="7" t="s">
        <v>77</v>
      </c>
      <c r="B22" s="12" t="s">
        <v>71</v>
      </c>
      <c r="C22" s="12" t="s">
        <v>78</v>
      </c>
      <c r="D22" s="7" t="s">
        <v>18</v>
      </c>
      <c r="E22" s="13" t="s">
        <v>50</v>
      </c>
      <c r="F22" s="7" t="s">
        <v>79</v>
      </c>
      <c r="G22" s="8">
        <v>230</v>
      </c>
      <c r="H22" s="8">
        <v>0</v>
      </c>
      <c r="I22" s="8">
        <v>587.5</v>
      </c>
      <c r="J22" s="8">
        <v>652.4</v>
      </c>
      <c r="K22" s="8">
        <v>698.7</v>
      </c>
      <c r="L22" s="8"/>
      <c r="M22" s="8" t="s">
        <v>19</v>
      </c>
      <c r="P22">
        <f t="shared" si="0"/>
        <v>230</v>
      </c>
    </row>
    <row r="23" ht="17.4" customHeight="1" spans="1:16">
      <c r="A23" s="7" t="s">
        <v>80</v>
      </c>
      <c r="B23" s="12" t="s">
        <v>71</v>
      </c>
      <c r="C23" s="12" t="s">
        <v>81</v>
      </c>
      <c r="D23" s="7" t="s">
        <v>18</v>
      </c>
      <c r="E23" s="13" t="s">
        <v>31</v>
      </c>
      <c r="F23" s="7" t="s">
        <v>82</v>
      </c>
      <c r="G23" s="8">
        <v>262</v>
      </c>
      <c r="H23" s="8">
        <v>0</v>
      </c>
      <c r="I23" s="8">
        <v>675.2</v>
      </c>
      <c r="J23" s="8">
        <v>715.3</v>
      </c>
      <c r="K23" s="8">
        <v>786.3</v>
      </c>
      <c r="L23" s="8"/>
      <c r="M23" s="8" t="s">
        <v>19</v>
      </c>
      <c r="P23">
        <f t="shared" si="0"/>
        <v>262</v>
      </c>
    </row>
    <row r="24" ht="17.4" customHeight="1" spans="1:16">
      <c r="A24" s="7" t="s">
        <v>83</v>
      </c>
      <c r="B24" s="12" t="s">
        <v>71</v>
      </c>
      <c r="C24" s="12" t="s">
        <v>84</v>
      </c>
      <c r="D24" s="7" t="s">
        <v>18</v>
      </c>
      <c r="E24" s="13" t="s">
        <v>63</v>
      </c>
      <c r="F24" s="7" t="s">
        <v>85</v>
      </c>
      <c r="G24" s="8">
        <v>332</v>
      </c>
      <c r="H24" s="8">
        <v>0</v>
      </c>
      <c r="I24" s="8">
        <v>985.3</v>
      </c>
      <c r="J24" s="8">
        <v>1051.2</v>
      </c>
      <c r="K24" s="8">
        <v>1152.3</v>
      </c>
      <c r="L24" s="8"/>
      <c r="M24" s="8" t="s">
        <v>19</v>
      </c>
      <c r="P24">
        <f t="shared" si="0"/>
        <v>332</v>
      </c>
    </row>
    <row r="25" ht="17.4" customHeight="1" spans="1:16">
      <c r="A25" s="7" t="s">
        <v>86</v>
      </c>
      <c r="B25" s="12" t="s">
        <v>71</v>
      </c>
      <c r="C25" s="12" t="s">
        <v>87</v>
      </c>
      <c r="D25" s="7" t="s">
        <v>18</v>
      </c>
      <c r="E25" s="13" t="s">
        <v>27</v>
      </c>
      <c r="F25" s="7" t="s">
        <v>88</v>
      </c>
      <c r="G25" s="8">
        <v>340</v>
      </c>
      <c r="H25" s="8">
        <v>0</v>
      </c>
      <c r="I25" s="8">
        <v>1256.4</v>
      </c>
      <c r="J25" s="8">
        <v>1314.5</v>
      </c>
      <c r="K25" s="8">
        <v>1417.5</v>
      </c>
      <c r="L25" s="8"/>
      <c r="M25" s="8" t="s">
        <v>19</v>
      </c>
      <c r="P25">
        <f t="shared" si="0"/>
        <v>340</v>
      </c>
    </row>
    <row r="26" ht="17.4" customHeight="1" spans="1:16">
      <c r="A26" s="7" t="s">
        <v>89</v>
      </c>
      <c r="B26" s="12" t="s">
        <v>71</v>
      </c>
      <c r="C26" s="12" t="s">
        <v>90</v>
      </c>
      <c r="D26" s="7" t="s">
        <v>18</v>
      </c>
      <c r="E26" s="13" t="s">
        <v>34</v>
      </c>
      <c r="F26" s="7" t="s">
        <v>91</v>
      </c>
      <c r="G26" s="8">
        <v>85</v>
      </c>
      <c r="H26" s="8">
        <v>0</v>
      </c>
      <c r="I26" s="8">
        <v>179.3</v>
      </c>
      <c r="J26" s="8">
        <v>213.6</v>
      </c>
      <c r="K26" s="8">
        <v>235.4</v>
      </c>
      <c r="L26" s="8"/>
      <c r="M26" s="8" t="s">
        <v>19</v>
      </c>
      <c r="P26">
        <f t="shared" si="0"/>
        <v>85</v>
      </c>
    </row>
    <row r="27" ht="17.4" customHeight="1" spans="1:16">
      <c r="A27" s="7" t="s">
        <v>92</v>
      </c>
      <c r="B27" s="12" t="s">
        <v>71</v>
      </c>
      <c r="C27" s="12" t="s">
        <v>21</v>
      </c>
      <c r="D27" s="7" t="s">
        <v>18</v>
      </c>
      <c r="E27" s="13" t="s">
        <v>93</v>
      </c>
      <c r="F27" s="7" t="s">
        <v>94</v>
      </c>
      <c r="G27" s="8">
        <v>100</v>
      </c>
      <c r="H27" s="8">
        <v>0</v>
      </c>
      <c r="I27" s="8">
        <v>245.9</v>
      </c>
      <c r="J27" s="8">
        <v>265.8</v>
      </c>
      <c r="K27" s="8">
        <v>279.3</v>
      </c>
      <c r="L27" s="8"/>
      <c r="M27" s="8" t="s">
        <v>19</v>
      </c>
      <c r="P27">
        <f t="shared" si="0"/>
        <v>100</v>
      </c>
    </row>
    <row r="28" ht="17.4" customHeight="1" spans="1:16">
      <c r="A28" s="7" t="s">
        <v>95</v>
      </c>
      <c r="B28" s="12" t="s">
        <v>71</v>
      </c>
      <c r="C28" s="12" t="s">
        <v>96</v>
      </c>
      <c r="D28" s="7" t="s">
        <v>18</v>
      </c>
      <c r="E28" s="13" t="s">
        <v>93</v>
      </c>
      <c r="F28" s="7" t="s">
        <v>97</v>
      </c>
      <c r="G28" s="8">
        <v>111</v>
      </c>
      <c r="H28" s="8">
        <v>168.84</v>
      </c>
      <c r="I28" s="8">
        <v>289.7</v>
      </c>
      <c r="J28" s="8">
        <v>315.2</v>
      </c>
      <c r="K28" s="8">
        <v>325.8</v>
      </c>
      <c r="L28" s="8"/>
      <c r="M28" s="8" t="s">
        <v>19</v>
      </c>
      <c r="P28">
        <f t="shared" si="0"/>
        <v>-57.84</v>
      </c>
    </row>
    <row r="29" ht="17.4" customHeight="1" spans="1:16">
      <c r="A29" s="7" t="s">
        <v>98</v>
      </c>
      <c r="B29" s="12" t="s">
        <v>71</v>
      </c>
      <c r="C29" s="12" t="s">
        <v>23</v>
      </c>
      <c r="D29" s="7" t="s">
        <v>18</v>
      </c>
      <c r="E29" s="13" t="s">
        <v>34</v>
      </c>
      <c r="F29" s="7" t="s">
        <v>99</v>
      </c>
      <c r="G29" s="8">
        <v>115</v>
      </c>
      <c r="H29" s="8">
        <v>0</v>
      </c>
      <c r="I29" s="8">
        <v>118.54</v>
      </c>
      <c r="J29" s="8">
        <v>129.47</v>
      </c>
      <c r="K29" s="8">
        <v>130.65</v>
      </c>
      <c r="L29" s="8"/>
      <c r="M29" s="8" t="s">
        <v>19</v>
      </c>
      <c r="P29">
        <f t="shared" si="0"/>
        <v>115</v>
      </c>
    </row>
    <row r="30" ht="17.4" customHeight="1" spans="1:16">
      <c r="A30" s="7" t="s">
        <v>100</v>
      </c>
      <c r="B30" s="12" t="s">
        <v>71</v>
      </c>
      <c r="C30" s="12" t="s">
        <v>26</v>
      </c>
      <c r="D30" s="7" t="s">
        <v>18</v>
      </c>
      <c r="E30" s="13" t="s">
        <v>31</v>
      </c>
      <c r="F30" s="7" t="s">
        <v>101</v>
      </c>
      <c r="G30" s="8">
        <v>130</v>
      </c>
      <c r="H30" s="8">
        <v>171.36</v>
      </c>
      <c r="I30" s="8">
        <v>289.3</v>
      </c>
      <c r="J30" s="8">
        <v>294.3</v>
      </c>
      <c r="K30" s="8">
        <v>319.5</v>
      </c>
      <c r="L30" s="8"/>
      <c r="M30" s="8" t="s">
        <v>19</v>
      </c>
      <c r="P30">
        <f t="shared" si="0"/>
        <v>-41.36</v>
      </c>
    </row>
    <row r="31" ht="17.4" customHeight="1" spans="1:16">
      <c r="A31" s="7" t="s">
        <v>102</v>
      </c>
      <c r="B31" s="12" t="s">
        <v>71</v>
      </c>
      <c r="C31" s="12" t="s">
        <v>30</v>
      </c>
      <c r="D31" s="7" t="s">
        <v>18</v>
      </c>
      <c r="E31" s="13" t="s">
        <v>34</v>
      </c>
      <c r="F31" s="7" t="s">
        <v>101</v>
      </c>
      <c r="G31" s="8">
        <v>130</v>
      </c>
      <c r="H31" s="8">
        <v>0</v>
      </c>
      <c r="I31" s="8">
        <v>297.8</v>
      </c>
      <c r="J31" s="8">
        <v>312.4</v>
      </c>
      <c r="K31" s="8">
        <v>332.6</v>
      </c>
      <c r="L31" s="8"/>
      <c r="M31" s="8" t="s">
        <v>19</v>
      </c>
      <c r="P31">
        <f t="shared" si="0"/>
        <v>130</v>
      </c>
    </row>
    <row r="32" ht="17.4" customHeight="1" spans="1:16">
      <c r="A32" s="7" t="s">
        <v>103</v>
      </c>
      <c r="B32" s="12" t="s">
        <v>71</v>
      </c>
      <c r="C32" s="12" t="s">
        <v>49</v>
      </c>
      <c r="D32" s="7" t="s">
        <v>18</v>
      </c>
      <c r="E32" s="13" t="s">
        <v>27</v>
      </c>
      <c r="F32" s="7" t="s">
        <v>51</v>
      </c>
      <c r="G32" s="8">
        <v>201</v>
      </c>
      <c r="H32" s="8">
        <v>186.48</v>
      </c>
      <c r="I32" s="8">
        <v>386.3</v>
      </c>
      <c r="J32" s="8">
        <v>397.8</v>
      </c>
      <c r="K32" s="8">
        <v>405.1</v>
      </c>
      <c r="L32" s="8"/>
      <c r="M32" s="8" t="s">
        <v>19</v>
      </c>
      <c r="P32">
        <f t="shared" si="0"/>
        <v>14.52</v>
      </c>
    </row>
    <row r="33" ht="17.4" customHeight="1" spans="1:16">
      <c r="A33" s="7" t="s">
        <v>104</v>
      </c>
      <c r="B33" s="12" t="s">
        <v>71</v>
      </c>
      <c r="C33" s="12" t="s">
        <v>105</v>
      </c>
      <c r="D33" s="7" t="s">
        <v>18</v>
      </c>
      <c r="E33" s="13" t="s">
        <v>27</v>
      </c>
      <c r="F33" s="7" t="s">
        <v>106</v>
      </c>
      <c r="G33" s="8">
        <v>211</v>
      </c>
      <c r="H33" s="8">
        <v>0</v>
      </c>
      <c r="I33" s="8">
        <v>425.3</v>
      </c>
      <c r="J33" s="8">
        <v>465.3</v>
      </c>
      <c r="K33" s="8">
        <v>512.3</v>
      </c>
      <c r="L33" s="8"/>
      <c r="M33" s="8" t="s">
        <v>19</v>
      </c>
      <c r="P33">
        <f t="shared" si="0"/>
        <v>211</v>
      </c>
    </row>
    <row r="34" ht="17.4" customHeight="1" spans="1:16">
      <c r="A34" s="7" t="s">
        <v>107</v>
      </c>
      <c r="B34" s="12" t="s">
        <v>108</v>
      </c>
      <c r="C34" s="12" t="s">
        <v>109</v>
      </c>
      <c r="D34" s="7" t="s">
        <v>110</v>
      </c>
      <c r="E34" s="13" t="s">
        <v>111</v>
      </c>
      <c r="F34" s="7" t="s">
        <v>112</v>
      </c>
      <c r="G34" s="8">
        <v>12</v>
      </c>
      <c r="H34" s="8">
        <v>0</v>
      </c>
      <c r="I34" s="8">
        <v>45.12</v>
      </c>
      <c r="J34" s="8">
        <v>48.12</v>
      </c>
      <c r="K34" s="8">
        <v>51.23</v>
      </c>
      <c r="L34" s="8"/>
      <c r="M34" s="8" t="s">
        <v>19</v>
      </c>
      <c r="P34">
        <f t="shared" si="0"/>
        <v>12</v>
      </c>
    </row>
    <row r="35" ht="17.4" customHeight="1" spans="1:16">
      <c r="A35" s="7" t="s">
        <v>113</v>
      </c>
      <c r="B35" s="12" t="s">
        <v>114</v>
      </c>
      <c r="C35" s="12" t="s">
        <v>109</v>
      </c>
      <c r="D35" s="7" t="s">
        <v>115</v>
      </c>
      <c r="E35" s="13" t="s">
        <v>116</v>
      </c>
      <c r="F35" s="7" t="s">
        <v>117</v>
      </c>
      <c r="G35" s="8">
        <v>310</v>
      </c>
      <c r="H35" s="8">
        <v>656.15</v>
      </c>
      <c r="I35" s="8">
        <v>998.72</v>
      </c>
      <c r="J35" s="8">
        <v>1026.32</v>
      </c>
      <c r="K35" s="8">
        <v>1368.55</v>
      </c>
      <c r="L35" s="8"/>
      <c r="M35" s="8" t="s">
        <v>19</v>
      </c>
      <c r="P35">
        <f t="shared" si="0"/>
        <v>-346.15</v>
      </c>
    </row>
    <row r="36" ht="17.4" customHeight="1" spans="1:16">
      <c r="A36" s="7" t="s">
        <v>118</v>
      </c>
      <c r="B36" s="15" t="s">
        <v>119</v>
      </c>
      <c r="C36" s="12" t="s">
        <v>120</v>
      </c>
      <c r="D36" s="7" t="s">
        <v>115</v>
      </c>
      <c r="E36" s="13" t="s">
        <v>121</v>
      </c>
      <c r="F36" s="7" t="s">
        <v>122</v>
      </c>
      <c r="G36" s="8">
        <v>400</v>
      </c>
      <c r="H36" s="8">
        <v>0</v>
      </c>
      <c r="I36" s="8"/>
      <c r="J36" s="8"/>
      <c r="K36" s="8"/>
      <c r="L36" s="8"/>
      <c r="M36" s="8" t="s">
        <v>19</v>
      </c>
      <c r="P36">
        <f t="shared" si="0"/>
        <v>400</v>
      </c>
    </row>
    <row r="37" ht="26.4" customHeight="1" spans="1:16">
      <c r="A37" s="7" t="s">
        <v>123</v>
      </c>
      <c r="B37" s="12" t="s">
        <v>124</v>
      </c>
      <c r="C37" s="12" t="s">
        <v>125</v>
      </c>
      <c r="D37" s="7" t="s">
        <v>126</v>
      </c>
      <c r="E37" s="13" t="s">
        <v>20</v>
      </c>
      <c r="F37" s="7" t="s">
        <v>127</v>
      </c>
      <c r="G37" s="8">
        <v>9500</v>
      </c>
      <c r="H37" s="8">
        <v>0</v>
      </c>
      <c r="I37" s="8">
        <v>6548.5</v>
      </c>
      <c r="J37" s="8">
        <v>7600.74</v>
      </c>
      <c r="K37" s="8">
        <v>7952.6</v>
      </c>
      <c r="L37" s="8"/>
      <c r="M37" s="8" t="s">
        <v>19</v>
      </c>
      <c r="P37">
        <f t="shared" si="0"/>
        <v>9500</v>
      </c>
    </row>
    <row r="38" ht="75" customHeight="1" spans="1:16">
      <c r="A38" s="7" t="s">
        <v>128</v>
      </c>
      <c r="B38" s="12" t="s">
        <v>129</v>
      </c>
      <c r="C38" s="12" t="s">
        <v>130</v>
      </c>
      <c r="D38" s="7" t="s">
        <v>55</v>
      </c>
      <c r="E38" s="13" t="s">
        <v>131</v>
      </c>
      <c r="F38" s="7" t="s">
        <v>132</v>
      </c>
      <c r="G38" s="8">
        <v>2800</v>
      </c>
      <c r="H38" s="8">
        <v>0</v>
      </c>
      <c r="I38" s="8">
        <v>5545</v>
      </c>
      <c r="J38" s="8">
        <v>5973</v>
      </c>
      <c r="K38" s="8">
        <v>6053</v>
      </c>
      <c r="L38" s="8"/>
      <c r="M38" s="8" t="s">
        <v>19</v>
      </c>
      <c r="P38">
        <f t="shared" si="0"/>
        <v>2800</v>
      </c>
    </row>
    <row r="39" ht="75" customHeight="1" spans="1:16">
      <c r="A39" s="7" t="s">
        <v>133</v>
      </c>
      <c r="B39" s="12" t="s">
        <v>134</v>
      </c>
      <c r="C39" s="12" t="s">
        <v>135</v>
      </c>
      <c r="D39" s="7" t="s">
        <v>55</v>
      </c>
      <c r="E39" s="13" t="s">
        <v>80</v>
      </c>
      <c r="F39" s="7" t="s">
        <v>136</v>
      </c>
      <c r="G39" s="8">
        <v>4500</v>
      </c>
      <c r="H39" s="8">
        <v>0</v>
      </c>
      <c r="I39" s="8">
        <v>7980</v>
      </c>
      <c r="J39" s="8">
        <v>8315</v>
      </c>
      <c r="K39" s="8">
        <v>9571</v>
      </c>
      <c r="L39" s="8"/>
      <c r="M39" s="8" t="s">
        <v>19</v>
      </c>
      <c r="P39">
        <f t="shared" si="0"/>
        <v>4500</v>
      </c>
    </row>
    <row r="40" ht="26.4" customHeight="1" spans="1:16">
      <c r="A40" s="7" t="s">
        <v>137</v>
      </c>
      <c r="B40" s="12" t="s">
        <v>138</v>
      </c>
      <c r="C40" s="12" t="s">
        <v>139</v>
      </c>
      <c r="D40" s="7" t="s">
        <v>126</v>
      </c>
      <c r="E40" s="13" t="s">
        <v>15</v>
      </c>
      <c r="F40" s="7" t="s">
        <v>140</v>
      </c>
      <c r="G40" s="8">
        <v>1638</v>
      </c>
      <c r="H40" s="8">
        <v>2045.62</v>
      </c>
      <c r="I40" s="8">
        <v>2567.8</v>
      </c>
      <c r="J40" s="8">
        <v>2749.3</v>
      </c>
      <c r="K40" s="8">
        <v>2987.6</v>
      </c>
      <c r="L40" s="8"/>
      <c r="M40" s="8" t="s">
        <v>19</v>
      </c>
      <c r="N40" s="2">
        <f>I40-G40</f>
        <v>929.8</v>
      </c>
      <c r="O40" s="2">
        <f>N40/F40</f>
        <v>0.567643467643468</v>
      </c>
      <c r="P40">
        <f t="shared" si="0"/>
        <v>-407.62</v>
      </c>
    </row>
    <row r="41" ht="26.4" customHeight="1" spans="1:16">
      <c r="A41" s="7" t="s">
        <v>141</v>
      </c>
      <c r="B41" s="12" t="s">
        <v>142</v>
      </c>
      <c r="C41" s="12" t="s">
        <v>143</v>
      </c>
      <c r="D41" s="7" t="s">
        <v>126</v>
      </c>
      <c r="E41" s="13" t="s">
        <v>15</v>
      </c>
      <c r="F41" s="7" t="s">
        <v>144</v>
      </c>
      <c r="G41" s="8">
        <v>850</v>
      </c>
      <c r="H41" s="8">
        <v>1138.6</v>
      </c>
      <c r="I41" s="8">
        <v>1275.3</v>
      </c>
      <c r="J41" s="8">
        <v>1413.5</v>
      </c>
      <c r="K41" s="8">
        <v>1675.4</v>
      </c>
      <c r="L41" s="8"/>
      <c r="M41" s="8" t="s">
        <v>19</v>
      </c>
      <c r="N41" s="2">
        <f>I41-G41</f>
        <v>425.3</v>
      </c>
      <c r="O41" s="2">
        <f>N41/F41</f>
        <v>0.500352941176471</v>
      </c>
      <c r="P41">
        <f t="shared" si="0"/>
        <v>-288.6</v>
      </c>
    </row>
    <row r="42" ht="26.4" customHeight="1" spans="1:16">
      <c r="A42" s="7" t="s">
        <v>145</v>
      </c>
      <c r="B42" s="12" t="s">
        <v>146</v>
      </c>
      <c r="C42" s="12" t="s">
        <v>147</v>
      </c>
      <c r="D42" s="7" t="s">
        <v>126</v>
      </c>
      <c r="E42" s="13" t="s">
        <v>20</v>
      </c>
      <c r="F42" s="7" t="s">
        <v>148</v>
      </c>
      <c r="G42" s="8">
        <v>1100</v>
      </c>
      <c r="H42" s="8">
        <v>2483.3</v>
      </c>
      <c r="I42" s="8">
        <v>1459.7</v>
      </c>
      <c r="J42" s="8">
        <v>1657.8</v>
      </c>
      <c r="K42" s="8">
        <v>1854.3</v>
      </c>
      <c r="L42" s="8"/>
      <c r="M42" s="8" t="s">
        <v>19</v>
      </c>
      <c r="N42" s="2">
        <f>I42-G42</f>
        <v>359.7</v>
      </c>
      <c r="O42" s="2">
        <f>N42/F42</f>
        <v>0.327</v>
      </c>
      <c r="P42">
        <f t="shared" si="0"/>
        <v>-1383.3</v>
      </c>
    </row>
    <row r="43" ht="26.4" customHeight="1" spans="1:16">
      <c r="A43" s="7" t="s">
        <v>56</v>
      </c>
      <c r="B43" s="12" t="s">
        <v>149</v>
      </c>
      <c r="C43" s="12" t="s">
        <v>147</v>
      </c>
      <c r="D43" s="7" t="s">
        <v>126</v>
      </c>
      <c r="E43" s="13" t="s">
        <v>15</v>
      </c>
      <c r="F43" s="7" t="s">
        <v>148</v>
      </c>
      <c r="G43" s="8">
        <v>1100</v>
      </c>
      <c r="H43" s="8">
        <v>0</v>
      </c>
      <c r="I43" s="8">
        <v>1345.6</v>
      </c>
      <c r="J43" s="8">
        <v>1765.5</v>
      </c>
      <c r="K43" s="8">
        <v>1973.2</v>
      </c>
      <c r="L43" s="8"/>
      <c r="M43" s="8" t="s">
        <v>19</v>
      </c>
      <c r="N43" s="2">
        <f>I43-G43</f>
        <v>245.6</v>
      </c>
      <c r="O43" s="2">
        <f>N43/F43</f>
        <v>0.223272727272727</v>
      </c>
      <c r="P43">
        <f t="shared" si="0"/>
        <v>1100</v>
      </c>
    </row>
    <row r="44" ht="17.4" customHeight="1" spans="1:16">
      <c r="A44" s="7" t="s">
        <v>150</v>
      </c>
      <c r="B44" s="15" t="s">
        <v>151</v>
      </c>
      <c r="C44" s="12" t="s">
        <v>152</v>
      </c>
      <c r="D44" s="7" t="s">
        <v>153</v>
      </c>
      <c r="E44" s="13" t="s">
        <v>154</v>
      </c>
      <c r="F44" s="7" t="s">
        <v>155</v>
      </c>
      <c r="G44" s="8">
        <v>20.36</v>
      </c>
      <c r="H44" s="8">
        <v>0</v>
      </c>
      <c r="I44" s="8"/>
      <c r="J44" s="8"/>
      <c r="K44" s="8"/>
      <c r="L44" s="8"/>
      <c r="M44" s="8" t="s">
        <v>19</v>
      </c>
      <c r="P44">
        <f t="shared" si="0"/>
        <v>20.36</v>
      </c>
    </row>
    <row r="45" ht="17.4" customHeight="1" spans="1:16">
      <c r="A45" s="7" t="s">
        <v>156</v>
      </c>
      <c r="B45" s="15" t="s">
        <v>157</v>
      </c>
      <c r="C45" s="12" t="s">
        <v>152</v>
      </c>
      <c r="D45" s="7" t="s">
        <v>18</v>
      </c>
      <c r="E45" s="13" t="s">
        <v>158</v>
      </c>
      <c r="F45" s="7" t="s">
        <v>159</v>
      </c>
      <c r="G45" s="8">
        <v>20.5</v>
      </c>
      <c r="H45" s="8">
        <v>0</v>
      </c>
      <c r="I45" s="8"/>
      <c r="J45" s="8"/>
      <c r="K45" s="8"/>
      <c r="L45" s="8"/>
      <c r="M45" s="8" t="s">
        <v>19</v>
      </c>
      <c r="P45">
        <f t="shared" si="0"/>
        <v>20.5</v>
      </c>
    </row>
    <row r="46" ht="17.4" customHeight="1" spans="1:16">
      <c r="A46" s="7" t="s">
        <v>160</v>
      </c>
      <c r="B46" s="15" t="s">
        <v>161</v>
      </c>
      <c r="C46" s="12" t="s">
        <v>162</v>
      </c>
      <c r="D46" s="7" t="s">
        <v>153</v>
      </c>
      <c r="E46" s="13" t="s">
        <v>163</v>
      </c>
      <c r="F46" s="7" t="s">
        <v>164</v>
      </c>
      <c r="G46" s="8">
        <v>49.76</v>
      </c>
      <c r="H46" s="8">
        <v>0</v>
      </c>
      <c r="I46" s="8"/>
      <c r="J46" s="8"/>
      <c r="K46" s="8"/>
      <c r="L46" s="8"/>
      <c r="M46" s="8" t="s">
        <v>19</v>
      </c>
      <c r="P46">
        <f t="shared" si="0"/>
        <v>49.76</v>
      </c>
    </row>
    <row r="47" ht="17.4" customHeight="1" spans="1:16">
      <c r="A47" s="7" t="s">
        <v>165</v>
      </c>
      <c r="B47" s="15" t="s">
        <v>166</v>
      </c>
      <c r="C47" s="12" t="s">
        <v>162</v>
      </c>
      <c r="D47" s="7" t="s">
        <v>18</v>
      </c>
      <c r="E47" s="13" t="s">
        <v>167</v>
      </c>
      <c r="F47" s="7" t="s">
        <v>168</v>
      </c>
      <c r="G47" s="8">
        <v>48.77</v>
      </c>
      <c r="H47" s="8">
        <v>0</v>
      </c>
      <c r="I47" s="8"/>
      <c r="J47" s="8"/>
      <c r="K47" s="8"/>
      <c r="L47" s="8"/>
      <c r="M47" s="8" t="s">
        <v>19</v>
      </c>
      <c r="P47">
        <f t="shared" si="0"/>
        <v>48.77</v>
      </c>
    </row>
    <row r="48" ht="38.4" customHeight="1" spans="1:16">
      <c r="A48" s="7" t="s">
        <v>169</v>
      </c>
      <c r="B48" s="12" t="s">
        <v>170</v>
      </c>
      <c r="C48" s="12" t="s">
        <v>171</v>
      </c>
      <c r="D48" s="7" t="s">
        <v>55</v>
      </c>
      <c r="E48" s="13" t="s">
        <v>15</v>
      </c>
      <c r="F48" s="7" t="s">
        <v>172</v>
      </c>
      <c r="G48" s="8">
        <v>2900</v>
      </c>
      <c r="H48" s="8">
        <v>21614.04</v>
      </c>
      <c r="I48" s="8">
        <v>5577</v>
      </c>
      <c r="J48" s="8">
        <v>6510</v>
      </c>
      <c r="K48" s="8">
        <v>7910</v>
      </c>
      <c r="L48" s="8"/>
      <c r="M48" s="8" t="s">
        <v>19</v>
      </c>
      <c r="P48">
        <f t="shared" si="0"/>
        <v>-18714.04</v>
      </c>
    </row>
    <row r="49" ht="17.4" customHeight="1" spans="1:16">
      <c r="A49" s="7" t="s">
        <v>173</v>
      </c>
      <c r="B49" s="12" t="s">
        <v>174</v>
      </c>
      <c r="C49" s="12" t="s">
        <v>175</v>
      </c>
      <c r="D49" s="7" t="s">
        <v>18</v>
      </c>
      <c r="E49" s="13" t="s">
        <v>22</v>
      </c>
      <c r="F49" s="7" t="s">
        <v>176</v>
      </c>
      <c r="G49" s="8">
        <v>478</v>
      </c>
      <c r="H49" s="8">
        <v>788.4</v>
      </c>
      <c r="I49" s="8">
        <v>448.02</v>
      </c>
      <c r="J49" s="8">
        <v>484.05</v>
      </c>
      <c r="K49" s="8">
        <v>486.75</v>
      </c>
      <c r="L49" s="8"/>
      <c r="M49" s="8" t="s">
        <v>19</v>
      </c>
      <c r="P49">
        <f t="shared" si="0"/>
        <v>-310.4</v>
      </c>
    </row>
    <row r="50" ht="17.4" customHeight="1" spans="1:16">
      <c r="A50" s="7" t="s">
        <v>177</v>
      </c>
      <c r="B50" s="12" t="s">
        <v>174</v>
      </c>
      <c r="C50" s="12" t="s">
        <v>162</v>
      </c>
      <c r="D50" s="7" t="s">
        <v>18</v>
      </c>
      <c r="E50" s="13" t="s">
        <v>25</v>
      </c>
      <c r="F50" s="7" t="s">
        <v>178</v>
      </c>
      <c r="G50" s="8">
        <v>772.5</v>
      </c>
      <c r="H50" s="8">
        <v>1240.2</v>
      </c>
      <c r="I50" s="8">
        <v>746.28</v>
      </c>
      <c r="J50" s="8">
        <v>809.05</v>
      </c>
      <c r="K50" s="8">
        <v>789.55</v>
      </c>
      <c r="L50" s="8"/>
      <c r="M50" s="8" t="s">
        <v>19</v>
      </c>
      <c r="P50">
        <f t="shared" si="0"/>
        <v>-467.7</v>
      </c>
    </row>
    <row r="51" ht="17.4" customHeight="1" spans="1:16">
      <c r="A51" s="7" t="s">
        <v>179</v>
      </c>
      <c r="B51" s="12" t="s">
        <v>174</v>
      </c>
      <c r="C51" s="12" t="s">
        <v>180</v>
      </c>
      <c r="D51" s="7" t="s">
        <v>18</v>
      </c>
      <c r="E51" s="13" t="s">
        <v>15</v>
      </c>
      <c r="F51" s="7" t="s">
        <v>181</v>
      </c>
      <c r="G51" s="8">
        <v>167.38</v>
      </c>
      <c r="H51" s="8">
        <v>0</v>
      </c>
      <c r="I51" s="8">
        <v>177.97</v>
      </c>
      <c r="J51" s="8">
        <v>193.84</v>
      </c>
      <c r="K51" s="8">
        <v>191.76</v>
      </c>
      <c r="L51" s="8"/>
      <c r="M51" s="8" t="s">
        <v>19</v>
      </c>
      <c r="P51">
        <f t="shared" si="0"/>
        <v>167.38</v>
      </c>
    </row>
    <row r="52" ht="50.4" customHeight="1" spans="1:16">
      <c r="A52" s="7" t="s">
        <v>182</v>
      </c>
      <c r="B52" s="12" t="s">
        <v>183</v>
      </c>
      <c r="C52" s="12" t="s">
        <v>184</v>
      </c>
      <c r="D52" s="7" t="s">
        <v>126</v>
      </c>
      <c r="E52" s="13" t="s">
        <v>70</v>
      </c>
      <c r="F52" s="7" t="s">
        <v>185</v>
      </c>
      <c r="G52" s="8">
        <v>3500</v>
      </c>
      <c r="H52" s="8">
        <v>0</v>
      </c>
      <c r="I52" s="8">
        <v>5125</v>
      </c>
      <c r="J52" s="8">
        <v>5812</v>
      </c>
      <c r="K52" s="8">
        <v>6542</v>
      </c>
      <c r="L52" s="8"/>
      <c r="M52" s="8" t="s">
        <v>19</v>
      </c>
      <c r="P52">
        <f t="shared" si="0"/>
        <v>3500</v>
      </c>
    </row>
    <row r="53" ht="17.4" customHeight="1" spans="1:16">
      <c r="A53" s="7" t="s">
        <v>186</v>
      </c>
      <c r="B53" s="12" t="s">
        <v>187</v>
      </c>
      <c r="C53" s="12" t="s">
        <v>188</v>
      </c>
      <c r="D53" s="7" t="s">
        <v>126</v>
      </c>
      <c r="E53" s="13" t="s">
        <v>25</v>
      </c>
      <c r="F53" s="7" t="s">
        <v>189</v>
      </c>
      <c r="G53" s="8">
        <v>2220</v>
      </c>
      <c r="H53" s="8">
        <v>0</v>
      </c>
      <c r="I53" s="8">
        <v>3876</v>
      </c>
      <c r="J53" s="8">
        <v>4125</v>
      </c>
      <c r="K53" s="8">
        <v>5015</v>
      </c>
      <c r="L53" s="8"/>
      <c r="M53" s="8" t="s">
        <v>19</v>
      </c>
      <c r="P53">
        <f t="shared" si="0"/>
        <v>2220</v>
      </c>
    </row>
    <row r="54" ht="17.4" customHeight="1" spans="1:16">
      <c r="A54" s="7" t="s">
        <v>190</v>
      </c>
      <c r="B54" s="12" t="s">
        <v>191</v>
      </c>
      <c r="C54" s="12" t="s">
        <v>109</v>
      </c>
      <c r="D54" s="7" t="s">
        <v>115</v>
      </c>
      <c r="E54" s="13" t="s">
        <v>192</v>
      </c>
      <c r="F54" s="7" t="s">
        <v>193</v>
      </c>
      <c r="G54" s="8">
        <v>1120</v>
      </c>
      <c r="H54" s="8">
        <v>0</v>
      </c>
      <c r="I54" s="8">
        <v>858.2</v>
      </c>
      <c r="J54" s="8">
        <v>985.23</v>
      </c>
      <c r="K54" s="8">
        <v>1023.21</v>
      </c>
      <c r="L54" s="8"/>
      <c r="M54" s="8" t="s">
        <v>19</v>
      </c>
      <c r="P54">
        <f t="shared" si="0"/>
        <v>1120</v>
      </c>
    </row>
    <row r="55" ht="17.4" customHeight="1" spans="1:16">
      <c r="A55" s="7" t="s">
        <v>194</v>
      </c>
      <c r="B55" s="12" t="s">
        <v>195</v>
      </c>
      <c r="C55" s="12" t="s">
        <v>196</v>
      </c>
      <c r="D55" s="7" t="s">
        <v>126</v>
      </c>
      <c r="E55" s="13" t="s">
        <v>22</v>
      </c>
      <c r="F55" s="7" t="s">
        <v>132</v>
      </c>
      <c r="G55" s="8">
        <v>2800</v>
      </c>
      <c r="H55" s="8">
        <v>0</v>
      </c>
      <c r="I55" s="8">
        <v>6510</v>
      </c>
      <c r="J55" s="8">
        <v>6847</v>
      </c>
      <c r="K55" s="8">
        <v>7512</v>
      </c>
      <c r="L55" s="8"/>
      <c r="M55" s="8" t="s">
        <v>19</v>
      </c>
      <c r="P55">
        <f t="shared" si="0"/>
        <v>2800</v>
      </c>
    </row>
    <row r="56" ht="17.4" customHeight="1" spans="1:16">
      <c r="A56" s="7" t="s">
        <v>197</v>
      </c>
      <c r="B56" s="12" t="s">
        <v>198</v>
      </c>
      <c r="C56" s="12" t="s">
        <v>109</v>
      </c>
      <c r="D56" s="7" t="s">
        <v>199</v>
      </c>
      <c r="E56" s="13" t="s">
        <v>200</v>
      </c>
      <c r="F56" s="7" t="s">
        <v>201</v>
      </c>
      <c r="G56" s="8">
        <v>370</v>
      </c>
      <c r="H56" s="8">
        <v>550.84</v>
      </c>
      <c r="I56" s="8"/>
      <c r="J56" s="8"/>
      <c r="K56" s="8"/>
      <c r="L56" s="8"/>
      <c r="M56" s="8">
        <v>365</v>
      </c>
      <c r="P56">
        <f t="shared" si="0"/>
        <v>-180.84</v>
      </c>
    </row>
    <row r="57" ht="17.4" customHeight="1" spans="1:16">
      <c r="A57" s="7" t="s">
        <v>202</v>
      </c>
      <c r="B57" s="12" t="s">
        <v>203</v>
      </c>
      <c r="C57" s="12" t="s">
        <v>204</v>
      </c>
      <c r="D57" s="7" t="s">
        <v>18</v>
      </c>
      <c r="E57" s="13" t="s">
        <v>31</v>
      </c>
      <c r="F57" s="7" t="s">
        <v>205</v>
      </c>
      <c r="G57" s="8">
        <v>352.05</v>
      </c>
      <c r="H57" s="8">
        <v>0</v>
      </c>
      <c r="I57" s="8">
        <v>685.5</v>
      </c>
      <c r="J57" s="8">
        <v>715.8</v>
      </c>
      <c r="K57" s="8">
        <v>785.6</v>
      </c>
      <c r="L57" s="8"/>
      <c r="M57" s="8" t="s">
        <v>19</v>
      </c>
      <c r="P57">
        <f t="shared" si="0"/>
        <v>352.05</v>
      </c>
    </row>
    <row r="58" ht="17.4" customHeight="1" spans="1:16">
      <c r="A58" s="7" t="s">
        <v>206</v>
      </c>
      <c r="B58" s="12" t="s">
        <v>203</v>
      </c>
      <c r="C58" s="12" t="s">
        <v>207</v>
      </c>
      <c r="D58" s="7" t="s">
        <v>18</v>
      </c>
      <c r="E58" s="13" t="s">
        <v>27</v>
      </c>
      <c r="F58" s="7" t="s">
        <v>208</v>
      </c>
      <c r="G58" s="8">
        <v>639</v>
      </c>
      <c r="H58" s="8">
        <v>0</v>
      </c>
      <c r="I58" s="8">
        <v>789.2</v>
      </c>
      <c r="J58" s="8">
        <v>845.6</v>
      </c>
      <c r="K58" s="8">
        <v>973.5</v>
      </c>
      <c r="L58" s="8"/>
      <c r="M58" s="8" t="s">
        <v>19</v>
      </c>
      <c r="P58">
        <f t="shared" si="0"/>
        <v>639</v>
      </c>
    </row>
    <row r="59" ht="17.4" customHeight="1" spans="1:16">
      <c r="A59" s="7" t="s">
        <v>209</v>
      </c>
      <c r="B59" s="12" t="s">
        <v>203</v>
      </c>
      <c r="C59" s="12" t="s">
        <v>210</v>
      </c>
      <c r="D59" s="7" t="s">
        <v>18</v>
      </c>
      <c r="E59" s="13" t="s">
        <v>31</v>
      </c>
      <c r="F59" s="7" t="s">
        <v>211</v>
      </c>
      <c r="G59" s="8">
        <v>312.93</v>
      </c>
      <c r="H59" s="8">
        <v>0</v>
      </c>
      <c r="I59" s="8">
        <v>465.8</v>
      </c>
      <c r="J59" s="8">
        <v>486.5</v>
      </c>
      <c r="K59" s="8">
        <v>515.3</v>
      </c>
      <c r="L59" s="8"/>
      <c r="M59" s="8" t="s">
        <v>19</v>
      </c>
      <c r="P59">
        <f t="shared" si="0"/>
        <v>312.93</v>
      </c>
    </row>
    <row r="60" ht="17.4" customHeight="1" spans="1:16">
      <c r="A60" s="7" t="s">
        <v>212</v>
      </c>
      <c r="B60" s="12" t="s">
        <v>213</v>
      </c>
      <c r="C60" s="12" t="s">
        <v>109</v>
      </c>
      <c r="D60" s="7" t="s">
        <v>214</v>
      </c>
      <c r="E60" s="13" t="s">
        <v>215</v>
      </c>
      <c r="F60" s="7" t="s">
        <v>216</v>
      </c>
      <c r="G60" s="8">
        <v>6</v>
      </c>
      <c r="H60" s="8">
        <v>6.21</v>
      </c>
      <c r="I60" s="8"/>
      <c r="J60" s="8"/>
      <c r="K60" s="8"/>
      <c r="L60" s="8"/>
      <c r="M60" s="8">
        <v>5.95</v>
      </c>
      <c r="P60">
        <f t="shared" si="0"/>
        <v>-0.21</v>
      </c>
    </row>
    <row r="61" ht="17.4" customHeight="1" spans="1:16">
      <c r="A61" s="7" t="s">
        <v>217</v>
      </c>
      <c r="B61" s="12" t="s">
        <v>218</v>
      </c>
      <c r="C61" s="12" t="s">
        <v>75</v>
      </c>
      <c r="D61" s="7" t="s">
        <v>18</v>
      </c>
      <c r="E61" s="13" t="s">
        <v>27</v>
      </c>
      <c r="F61" s="7" t="s">
        <v>219</v>
      </c>
      <c r="G61" s="8">
        <v>97.79</v>
      </c>
      <c r="H61" s="8">
        <v>0</v>
      </c>
      <c r="I61" s="8">
        <v>185.6</v>
      </c>
      <c r="J61" s="8">
        <v>197.6</v>
      </c>
      <c r="K61" s="8">
        <v>215.6</v>
      </c>
      <c r="L61" s="8"/>
      <c r="M61" s="8" t="s">
        <v>19</v>
      </c>
      <c r="P61">
        <f t="shared" si="0"/>
        <v>97.79</v>
      </c>
    </row>
    <row r="62" ht="17.4" customHeight="1" spans="1:16">
      <c r="A62" s="7" t="s">
        <v>220</v>
      </c>
      <c r="B62" s="12" t="s">
        <v>218</v>
      </c>
      <c r="C62" s="12" t="s">
        <v>221</v>
      </c>
      <c r="D62" s="7" t="s">
        <v>18</v>
      </c>
      <c r="E62" s="13" t="s">
        <v>34</v>
      </c>
      <c r="F62" s="7" t="s">
        <v>222</v>
      </c>
      <c r="G62" s="8">
        <v>122.24</v>
      </c>
      <c r="H62" s="8">
        <v>0</v>
      </c>
      <c r="I62" s="8">
        <v>185.9</v>
      </c>
      <c r="J62" s="8">
        <v>215.4</v>
      </c>
      <c r="K62" s="8">
        <v>245.3</v>
      </c>
      <c r="L62" s="8"/>
      <c r="M62" s="8" t="s">
        <v>19</v>
      </c>
      <c r="P62">
        <f t="shared" si="0"/>
        <v>122.24</v>
      </c>
    </row>
    <row r="63" ht="17.4" customHeight="1" spans="1:16">
      <c r="A63" s="7" t="s">
        <v>223</v>
      </c>
      <c r="B63" s="12" t="s">
        <v>218</v>
      </c>
      <c r="C63" s="12" t="s">
        <v>224</v>
      </c>
      <c r="D63" s="7" t="s">
        <v>18</v>
      </c>
      <c r="E63" s="13" t="s">
        <v>34</v>
      </c>
      <c r="F63" s="7" t="s">
        <v>225</v>
      </c>
      <c r="G63" s="8">
        <v>530</v>
      </c>
      <c r="H63" s="8">
        <v>0</v>
      </c>
      <c r="I63" s="8">
        <v>546.3</v>
      </c>
      <c r="J63" s="8">
        <v>679.77</v>
      </c>
      <c r="K63" s="8">
        <v>715.2</v>
      </c>
      <c r="L63" s="8"/>
      <c r="M63" s="8" t="s">
        <v>19</v>
      </c>
      <c r="P63">
        <f t="shared" si="0"/>
        <v>530</v>
      </c>
    </row>
    <row r="64" ht="17.4" customHeight="1" spans="1:16">
      <c r="A64" s="7" t="s">
        <v>226</v>
      </c>
      <c r="B64" s="12" t="s">
        <v>218</v>
      </c>
      <c r="C64" s="12" t="s">
        <v>227</v>
      </c>
      <c r="D64" s="7" t="s">
        <v>18</v>
      </c>
      <c r="E64" s="13" t="s">
        <v>31</v>
      </c>
      <c r="F64" s="7" t="s">
        <v>228</v>
      </c>
      <c r="G64" s="8">
        <v>15.87</v>
      </c>
      <c r="H64" s="8">
        <v>0</v>
      </c>
      <c r="I64" s="8">
        <v>33.2</v>
      </c>
      <c r="J64" s="8">
        <v>35.6</v>
      </c>
      <c r="K64" s="8">
        <v>38.6</v>
      </c>
      <c r="L64" s="8"/>
      <c r="M64" s="8" t="s">
        <v>19</v>
      </c>
      <c r="P64">
        <f t="shared" si="0"/>
        <v>15.87</v>
      </c>
    </row>
    <row r="65" ht="17.4" customHeight="1" spans="1:16">
      <c r="A65" s="7" t="s">
        <v>229</v>
      </c>
      <c r="B65" s="12" t="s">
        <v>218</v>
      </c>
      <c r="C65" s="12" t="s">
        <v>230</v>
      </c>
      <c r="D65" s="7" t="s">
        <v>18</v>
      </c>
      <c r="E65" s="13" t="s">
        <v>31</v>
      </c>
      <c r="F65" s="7" t="s">
        <v>231</v>
      </c>
      <c r="G65" s="8">
        <v>293.38</v>
      </c>
      <c r="H65" s="8">
        <v>0</v>
      </c>
      <c r="I65" s="8">
        <v>465.2</v>
      </c>
      <c r="J65" s="8">
        <v>485.9</v>
      </c>
      <c r="K65" s="8">
        <v>515.6</v>
      </c>
      <c r="L65" s="8"/>
      <c r="M65" s="8" t="s">
        <v>19</v>
      </c>
      <c r="P65">
        <f t="shared" si="0"/>
        <v>293.38</v>
      </c>
    </row>
    <row r="66" ht="17.4" customHeight="1" spans="1:16">
      <c r="A66" s="7" t="s">
        <v>232</v>
      </c>
      <c r="B66" s="12" t="s">
        <v>218</v>
      </c>
      <c r="C66" s="12" t="s">
        <v>21</v>
      </c>
      <c r="D66" s="7" t="s">
        <v>18</v>
      </c>
      <c r="E66" s="13" t="s">
        <v>233</v>
      </c>
      <c r="F66" s="7" t="s">
        <v>234</v>
      </c>
      <c r="G66" s="8">
        <v>18.54</v>
      </c>
      <c r="H66" s="8">
        <v>0</v>
      </c>
      <c r="I66" s="8">
        <v>35.2</v>
      </c>
      <c r="J66" s="8">
        <v>38.6</v>
      </c>
      <c r="K66" s="8">
        <v>41.5</v>
      </c>
      <c r="L66" s="8"/>
      <c r="M66" s="8" t="s">
        <v>19</v>
      </c>
      <c r="P66">
        <f t="shared" si="0"/>
        <v>18.54</v>
      </c>
    </row>
    <row r="67" ht="17.4" customHeight="1" spans="1:16">
      <c r="A67" s="7" t="s">
        <v>235</v>
      </c>
      <c r="B67" s="12" t="s">
        <v>218</v>
      </c>
      <c r="C67" s="12" t="s">
        <v>23</v>
      </c>
      <c r="D67" s="7" t="s">
        <v>18</v>
      </c>
      <c r="E67" s="13" t="s">
        <v>34</v>
      </c>
      <c r="F67" s="7" t="s">
        <v>236</v>
      </c>
      <c r="G67" s="8">
        <v>25.03</v>
      </c>
      <c r="H67" s="8">
        <v>0</v>
      </c>
      <c r="I67" s="8">
        <v>50</v>
      </c>
      <c r="J67" s="8">
        <v>53.2</v>
      </c>
      <c r="K67" s="8">
        <v>60.2</v>
      </c>
      <c r="L67" s="8"/>
      <c r="M67" s="8" t="s">
        <v>19</v>
      </c>
      <c r="P67">
        <f t="shared" si="0"/>
        <v>25.03</v>
      </c>
    </row>
    <row r="68" ht="17.4" customHeight="1" spans="1:16">
      <c r="A68" s="7" t="s">
        <v>237</v>
      </c>
      <c r="B68" s="12" t="s">
        <v>218</v>
      </c>
      <c r="C68" s="12" t="s">
        <v>238</v>
      </c>
      <c r="D68" s="7" t="s">
        <v>18</v>
      </c>
      <c r="E68" s="13" t="s">
        <v>34</v>
      </c>
      <c r="F68" s="7" t="s">
        <v>239</v>
      </c>
      <c r="G68" s="8">
        <v>27.38</v>
      </c>
      <c r="H68" s="8">
        <v>32.04</v>
      </c>
      <c r="I68" s="8">
        <v>50.2</v>
      </c>
      <c r="J68" s="8">
        <v>55.8</v>
      </c>
      <c r="K68" s="8">
        <v>62.1</v>
      </c>
      <c r="L68" s="8"/>
      <c r="M68" s="8" t="s">
        <v>19</v>
      </c>
      <c r="P68">
        <f t="shared" si="0"/>
        <v>-4.66</v>
      </c>
    </row>
    <row r="69" ht="17.4" customHeight="1" spans="1:16">
      <c r="A69" s="7" t="s">
        <v>240</v>
      </c>
      <c r="B69" s="12" t="s">
        <v>218</v>
      </c>
      <c r="C69" s="12" t="s">
        <v>26</v>
      </c>
      <c r="D69" s="7" t="s">
        <v>18</v>
      </c>
      <c r="E69" s="13" t="s">
        <v>34</v>
      </c>
      <c r="F69" s="7" t="s">
        <v>241</v>
      </c>
      <c r="G69" s="8">
        <v>31.29</v>
      </c>
      <c r="H69" s="8">
        <v>0</v>
      </c>
      <c r="I69" s="8">
        <v>55.6</v>
      </c>
      <c r="J69" s="8">
        <v>60.5</v>
      </c>
      <c r="K69" s="8">
        <v>70.2</v>
      </c>
      <c r="L69" s="8"/>
      <c r="M69" s="8" t="s">
        <v>19</v>
      </c>
      <c r="P69">
        <f t="shared" ref="P69:P132" si="1">F69-H69</f>
        <v>31.29</v>
      </c>
    </row>
    <row r="70" ht="17.4" customHeight="1" spans="1:16">
      <c r="A70" s="7" t="s">
        <v>242</v>
      </c>
      <c r="B70" s="12" t="s">
        <v>218</v>
      </c>
      <c r="C70" s="12" t="s">
        <v>30</v>
      </c>
      <c r="D70" s="7" t="s">
        <v>18</v>
      </c>
      <c r="E70" s="13" t="s">
        <v>34</v>
      </c>
      <c r="F70" s="7" t="s">
        <v>243</v>
      </c>
      <c r="G70" s="8">
        <v>39.12</v>
      </c>
      <c r="H70" s="8">
        <v>0</v>
      </c>
      <c r="I70" s="8">
        <v>65.3</v>
      </c>
      <c r="J70" s="8">
        <v>73.6</v>
      </c>
      <c r="K70" s="8">
        <v>80.2</v>
      </c>
      <c r="L70" s="8"/>
      <c r="M70" s="8" t="s">
        <v>19</v>
      </c>
      <c r="P70">
        <f t="shared" si="1"/>
        <v>39.12</v>
      </c>
    </row>
    <row r="71" ht="17.4" customHeight="1" spans="1:16">
      <c r="A71" s="7" t="s">
        <v>244</v>
      </c>
      <c r="B71" s="12" t="s">
        <v>218</v>
      </c>
      <c r="C71" s="12" t="s">
        <v>62</v>
      </c>
      <c r="D71" s="7" t="s">
        <v>18</v>
      </c>
      <c r="E71" s="13" t="s">
        <v>27</v>
      </c>
      <c r="F71" s="7" t="s">
        <v>245</v>
      </c>
      <c r="G71" s="8">
        <v>30.8</v>
      </c>
      <c r="H71" s="8">
        <v>35.07</v>
      </c>
      <c r="I71" s="8">
        <v>55.3</v>
      </c>
      <c r="J71" s="8">
        <v>65.3</v>
      </c>
      <c r="K71" s="8">
        <v>70.2</v>
      </c>
      <c r="L71" s="8"/>
      <c r="M71" s="8" t="s">
        <v>19</v>
      </c>
      <c r="P71">
        <f t="shared" si="1"/>
        <v>-4.27</v>
      </c>
    </row>
    <row r="72" ht="17.4" customHeight="1" spans="1:16">
      <c r="A72" s="7" t="s">
        <v>131</v>
      </c>
      <c r="B72" s="12" t="s">
        <v>218</v>
      </c>
      <c r="C72" s="12" t="s">
        <v>33</v>
      </c>
      <c r="D72" s="7" t="s">
        <v>18</v>
      </c>
      <c r="E72" s="13" t="s">
        <v>93</v>
      </c>
      <c r="F72" s="7" t="s">
        <v>246</v>
      </c>
      <c r="G72" s="8">
        <v>49.29</v>
      </c>
      <c r="H72" s="8">
        <v>51.49</v>
      </c>
      <c r="I72" s="8">
        <v>65.8</v>
      </c>
      <c r="J72" s="8">
        <v>75.8</v>
      </c>
      <c r="K72" s="8">
        <v>85.3</v>
      </c>
      <c r="L72" s="8"/>
      <c r="M72" s="8" t="s">
        <v>19</v>
      </c>
      <c r="P72">
        <f t="shared" si="1"/>
        <v>-2.2</v>
      </c>
    </row>
    <row r="73" ht="17.4" customHeight="1" spans="1:16">
      <c r="A73" s="7" t="s">
        <v>247</v>
      </c>
      <c r="B73" s="12" t="s">
        <v>218</v>
      </c>
      <c r="C73" s="12" t="s">
        <v>248</v>
      </c>
      <c r="D73" s="7" t="s">
        <v>18</v>
      </c>
      <c r="E73" s="13" t="s">
        <v>249</v>
      </c>
      <c r="F73" s="7" t="s">
        <v>250</v>
      </c>
      <c r="G73" s="8">
        <v>54.76</v>
      </c>
      <c r="H73" s="8">
        <v>87.23</v>
      </c>
      <c r="I73" s="8">
        <v>67.5</v>
      </c>
      <c r="J73" s="8">
        <v>75.5</v>
      </c>
      <c r="K73" s="8">
        <v>80.2</v>
      </c>
      <c r="L73" s="8"/>
      <c r="M73" s="8" t="s">
        <v>19</v>
      </c>
      <c r="P73">
        <f t="shared" si="1"/>
        <v>-32.47</v>
      </c>
    </row>
    <row r="74" ht="17.4" customHeight="1" spans="1:16">
      <c r="A74" s="7" t="s">
        <v>251</v>
      </c>
      <c r="B74" s="12" t="s">
        <v>218</v>
      </c>
      <c r="C74" s="12" t="s">
        <v>105</v>
      </c>
      <c r="D74" s="7" t="s">
        <v>18</v>
      </c>
      <c r="E74" s="13" t="s">
        <v>31</v>
      </c>
      <c r="F74" s="7" t="s">
        <v>252</v>
      </c>
      <c r="G74" s="8">
        <v>85.8</v>
      </c>
      <c r="H74" s="8">
        <v>0</v>
      </c>
      <c r="I74" s="8">
        <v>165.3</v>
      </c>
      <c r="J74" s="8">
        <v>185.7</v>
      </c>
      <c r="K74" s="8">
        <v>191.2</v>
      </c>
      <c r="L74" s="8"/>
      <c r="M74" s="8" t="s">
        <v>19</v>
      </c>
      <c r="P74">
        <f t="shared" si="1"/>
        <v>85.8</v>
      </c>
    </row>
    <row r="75" ht="17.4" customHeight="1" spans="1:16">
      <c r="A75" s="7" t="s">
        <v>253</v>
      </c>
      <c r="B75" s="12" t="s">
        <v>254</v>
      </c>
      <c r="C75" s="12" t="s">
        <v>255</v>
      </c>
      <c r="D75" s="7" t="s">
        <v>18</v>
      </c>
      <c r="E75" s="13" t="s">
        <v>27</v>
      </c>
      <c r="F75" s="7" t="s">
        <v>256</v>
      </c>
      <c r="G75" s="8">
        <v>78.23</v>
      </c>
      <c r="H75" s="8">
        <v>77.19</v>
      </c>
      <c r="I75" s="8">
        <v>135.5</v>
      </c>
      <c r="J75" s="8">
        <v>145.3</v>
      </c>
      <c r="K75" s="8">
        <v>158.6</v>
      </c>
      <c r="L75" s="8"/>
      <c r="M75" s="8" t="s">
        <v>19</v>
      </c>
      <c r="P75">
        <f t="shared" si="1"/>
        <v>1.04000000000001</v>
      </c>
    </row>
    <row r="76" ht="17.4" customHeight="1" spans="1:16">
      <c r="A76" s="7" t="s">
        <v>257</v>
      </c>
      <c r="B76" s="12" t="s">
        <v>254</v>
      </c>
      <c r="C76" s="12" t="s">
        <v>258</v>
      </c>
      <c r="D76" s="7" t="s">
        <v>18</v>
      </c>
      <c r="E76" s="13" t="s">
        <v>46</v>
      </c>
      <c r="F76" s="7" t="s">
        <v>259</v>
      </c>
      <c r="G76" s="8">
        <v>37.55</v>
      </c>
      <c r="H76" s="8">
        <v>35.07</v>
      </c>
      <c r="I76" s="8">
        <v>68.5</v>
      </c>
      <c r="J76" s="8">
        <v>75.8</v>
      </c>
      <c r="K76" s="8">
        <v>82.5</v>
      </c>
      <c r="L76" s="8"/>
      <c r="M76" s="8" t="s">
        <v>19</v>
      </c>
      <c r="P76">
        <f t="shared" si="1"/>
        <v>2.48</v>
      </c>
    </row>
    <row r="77" ht="17.4" customHeight="1" spans="1:16">
      <c r="A77" s="7" t="s">
        <v>260</v>
      </c>
      <c r="B77" s="12" t="s">
        <v>261</v>
      </c>
      <c r="C77" s="12" t="s">
        <v>175</v>
      </c>
      <c r="D77" s="7" t="s">
        <v>18</v>
      </c>
      <c r="E77" s="13" t="s">
        <v>22</v>
      </c>
      <c r="F77" s="7" t="s">
        <v>262</v>
      </c>
      <c r="G77" s="8">
        <v>440</v>
      </c>
      <c r="H77" s="8">
        <v>0</v>
      </c>
      <c r="I77" s="8">
        <v>485.58</v>
      </c>
      <c r="J77" s="8">
        <v>521.13</v>
      </c>
      <c r="K77" s="8">
        <v>512.87</v>
      </c>
      <c r="L77" s="8"/>
      <c r="M77" s="8" t="s">
        <v>19</v>
      </c>
      <c r="P77">
        <f t="shared" si="1"/>
        <v>440</v>
      </c>
    </row>
    <row r="78" ht="17.4" customHeight="1" spans="1:16">
      <c r="A78" s="7" t="s">
        <v>263</v>
      </c>
      <c r="B78" s="12" t="s">
        <v>261</v>
      </c>
      <c r="C78" s="12" t="s">
        <v>180</v>
      </c>
      <c r="D78" s="7" t="s">
        <v>18</v>
      </c>
      <c r="E78" s="13" t="s">
        <v>15</v>
      </c>
      <c r="F78" s="7" t="s">
        <v>264</v>
      </c>
      <c r="G78" s="8">
        <v>236.26</v>
      </c>
      <c r="H78" s="8">
        <v>0</v>
      </c>
      <c r="I78" s="8">
        <v>260.74</v>
      </c>
      <c r="J78" s="8">
        <v>280.86</v>
      </c>
      <c r="K78" s="8">
        <v>279.82</v>
      </c>
      <c r="L78" s="8"/>
      <c r="M78" s="8" t="s">
        <v>19</v>
      </c>
      <c r="P78">
        <f t="shared" si="1"/>
        <v>236.26</v>
      </c>
    </row>
    <row r="79" ht="17.4" customHeight="1" spans="1:16">
      <c r="A79" s="7" t="s">
        <v>265</v>
      </c>
      <c r="B79" s="12" t="s">
        <v>266</v>
      </c>
      <c r="C79" s="16" t="s">
        <v>221</v>
      </c>
      <c r="D79" s="7" t="s">
        <v>18</v>
      </c>
      <c r="E79" s="13" t="s">
        <v>27</v>
      </c>
      <c r="F79" s="7" t="s">
        <v>267</v>
      </c>
      <c r="G79" s="8">
        <v>494.1</v>
      </c>
      <c r="H79" s="8">
        <v>0</v>
      </c>
      <c r="I79" s="8">
        <v>785.3</v>
      </c>
      <c r="J79" s="8">
        <v>785.6</v>
      </c>
      <c r="K79" s="8">
        <v>815.2</v>
      </c>
      <c r="L79" s="8"/>
      <c r="M79" s="8" t="s">
        <v>19</v>
      </c>
      <c r="P79">
        <f t="shared" si="1"/>
        <v>494.1</v>
      </c>
    </row>
    <row r="80" ht="17.4" customHeight="1" spans="1:16">
      <c r="A80" s="7" t="s">
        <v>268</v>
      </c>
      <c r="B80" s="12" t="s">
        <v>266</v>
      </c>
      <c r="C80" s="16" t="s">
        <v>269</v>
      </c>
      <c r="D80" s="7" t="s">
        <v>18</v>
      </c>
      <c r="E80" s="13" t="s">
        <v>34</v>
      </c>
      <c r="F80" s="7" t="s">
        <v>270</v>
      </c>
      <c r="G80" s="8">
        <v>558</v>
      </c>
      <c r="H80" s="8">
        <v>0</v>
      </c>
      <c r="I80" s="8">
        <v>1265.3</v>
      </c>
      <c r="J80" s="8">
        <v>1357.9</v>
      </c>
      <c r="K80" s="8">
        <v>1412.3</v>
      </c>
      <c r="L80" s="8"/>
      <c r="M80" s="8" t="s">
        <v>19</v>
      </c>
      <c r="P80">
        <f t="shared" si="1"/>
        <v>558</v>
      </c>
    </row>
    <row r="81" ht="17.4" customHeight="1" spans="1:16">
      <c r="A81" s="7" t="s">
        <v>271</v>
      </c>
      <c r="B81" s="12" t="s">
        <v>266</v>
      </c>
      <c r="C81" s="16" t="s">
        <v>84</v>
      </c>
      <c r="D81" s="7" t="s">
        <v>18</v>
      </c>
      <c r="E81" s="13" t="s">
        <v>63</v>
      </c>
      <c r="F81" s="7" t="s">
        <v>272</v>
      </c>
      <c r="G81" s="8">
        <v>594.2</v>
      </c>
      <c r="H81" s="8">
        <v>0</v>
      </c>
      <c r="I81" s="8">
        <v>1051.3</v>
      </c>
      <c r="J81" s="8">
        <v>1152.3</v>
      </c>
      <c r="K81" s="8">
        <v>1354.2</v>
      </c>
      <c r="L81" s="8"/>
      <c r="M81" s="8" t="s">
        <v>19</v>
      </c>
      <c r="P81">
        <f t="shared" si="1"/>
        <v>594.2</v>
      </c>
    </row>
    <row r="82" ht="17.4" customHeight="1" spans="1:16">
      <c r="A82" s="7" t="s">
        <v>273</v>
      </c>
      <c r="B82" s="12" t="s">
        <v>266</v>
      </c>
      <c r="C82" s="16" t="s">
        <v>96</v>
      </c>
      <c r="D82" s="7" t="s">
        <v>18</v>
      </c>
      <c r="E82" s="13" t="s">
        <v>93</v>
      </c>
      <c r="F82" s="7" t="s">
        <v>252</v>
      </c>
      <c r="G82" s="8">
        <v>85.8</v>
      </c>
      <c r="H82" s="8">
        <v>0</v>
      </c>
      <c r="I82" s="8">
        <v>145.2</v>
      </c>
      <c r="J82" s="8">
        <v>156.9</v>
      </c>
      <c r="K82" s="8">
        <v>175.3</v>
      </c>
      <c r="L82" s="8"/>
      <c r="M82" s="8" t="s">
        <v>19</v>
      </c>
      <c r="P82">
        <f t="shared" si="1"/>
        <v>85.8</v>
      </c>
    </row>
    <row r="83" ht="17.4" customHeight="1" spans="1:16">
      <c r="A83" s="7" t="s">
        <v>274</v>
      </c>
      <c r="B83" s="12" t="s">
        <v>266</v>
      </c>
      <c r="C83" s="16" t="s">
        <v>275</v>
      </c>
      <c r="D83" s="7" t="s">
        <v>18</v>
      </c>
      <c r="E83" s="13" t="s">
        <v>50</v>
      </c>
      <c r="F83" s="7" t="s">
        <v>276</v>
      </c>
      <c r="G83" s="8">
        <v>99.75</v>
      </c>
      <c r="H83" s="8">
        <v>0</v>
      </c>
      <c r="I83" s="8">
        <v>185.3</v>
      </c>
      <c r="J83" s="8">
        <v>197.3</v>
      </c>
      <c r="K83" s="8">
        <v>201.3</v>
      </c>
      <c r="L83" s="8"/>
      <c r="M83" s="8" t="s">
        <v>19</v>
      </c>
      <c r="P83">
        <f t="shared" si="1"/>
        <v>99.75</v>
      </c>
    </row>
    <row r="84" ht="17.4" customHeight="1" spans="1:16">
      <c r="A84" s="7" t="s">
        <v>277</v>
      </c>
      <c r="B84" s="12" t="s">
        <v>266</v>
      </c>
      <c r="C84" s="16" t="s">
        <v>26</v>
      </c>
      <c r="D84" s="7" t="s">
        <v>18</v>
      </c>
      <c r="E84" s="13" t="s">
        <v>63</v>
      </c>
      <c r="F84" s="7" t="s">
        <v>278</v>
      </c>
      <c r="G84" s="8">
        <v>119.28</v>
      </c>
      <c r="H84" s="8">
        <v>0</v>
      </c>
      <c r="I84" s="8">
        <v>215.3</v>
      </c>
      <c r="J84" s="8">
        <v>258.3</v>
      </c>
      <c r="K84" s="8">
        <v>269.3</v>
      </c>
      <c r="L84" s="8"/>
      <c r="M84" s="8" t="s">
        <v>19</v>
      </c>
      <c r="P84">
        <f t="shared" si="1"/>
        <v>119.28</v>
      </c>
    </row>
    <row r="85" ht="17.4" customHeight="1" spans="1:16">
      <c r="A85" s="7" t="s">
        <v>279</v>
      </c>
      <c r="B85" s="12" t="s">
        <v>266</v>
      </c>
      <c r="C85" s="16" t="s">
        <v>62</v>
      </c>
      <c r="D85" s="7" t="s">
        <v>18</v>
      </c>
      <c r="E85" s="13" t="s">
        <v>50</v>
      </c>
      <c r="F85" s="7" t="s">
        <v>280</v>
      </c>
      <c r="G85" s="8">
        <v>117.85</v>
      </c>
      <c r="H85" s="8">
        <v>0</v>
      </c>
      <c r="I85" s="8">
        <v>245.3</v>
      </c>
      <c r="J85" s="8">
        <v>265.4</v>
      </c>
      <c r="K85" s="8">
        <v>286.3</v>
      </c>
      <c r="L85" s="8"/>
      <c r="M85" s="8" t="s">
        <v>19</v>
      </c>
      <c r="P85">
        <f t="shared" si="1"/>
        <v>117.85</v>
      </c>
    </row>
    <row r="86" ht="17.4" customHeight="1" spans="1:16">
      <c r="A86" s="7" t="s">
        <v>281</v>
      </c>
      <c r="B86" s="12" t="s">
        <v>266</v>
      </c>
      <c r="C86" s="16" t="s">
        <v>282</v>
      </c>
      <c r="D86" s="7" t="s">
        <v>18</v>
      </c>
      <c r="E86" s="13" t="s">
        <v>27</v>
      </c>
      <c r="F86" s="7" t="s">
        <v>283</v>
      </c>
      <c r="G86" s="8">
        <v>142.49</v>
      </c>
      <c r="H86" s="8">
        <v>0</v>
      </c>
      <c r="I86" s="8">
        <v>265.1</v>
      </c>
      <c r="J86" s="8">
        <v>289.3</v>
      </c>
      <c r="K86" s="8">
        <v>298.3</v>
      </c>
      <c r="L86" s="8"/>
      <c r="M86" s="8" t="s">
        <v>19</v>
      </c>
      <c r="P86">
        <f t="shared" si="1"/>
        <v>142.49</v>
      </c>
    </row>
    <row r="87" ht="17.4" customHeight="1" spans="1:16">
      <c r="A87" s="7" t="s">
        <v>284</v>
      </c>
      <c r="B87" s="12" t="s">
        <v>266</v>
      </c>
      <c r="C87" s="16" t="s">
        <v>68</v>
      </c>
      <c r="D87" s="7" t="s">
        <v>18</v>
      </c>
      <c r="E87" s="13" t="s">
        <v>46</v>
      </c>
      <c r="F87" s="7" t="s">
        <v>285</v>
      </c>
      <c r="G87" s="8">
        <v>172.84</v>
      </c>
      <c r="H87" s="8">
        <v>0</v>
      </c>
      <c r="I87" s="8">
        <v>289.7</v>
      </c>
      <c r="J87" s="8">
        <v>345.6</v>
      </c>
      <c r="K87" s="8">
        <v>389.7</v>
      </c>
      <c r="L87" s="8"/>
      <c r="M87" s="8" t="s">
        <v>19</v>
      </c>
      <c r="P87">
        <f t="shared" si="1"/>
        <v>172.84</v>
      </c>
    </row>
    <row r="88" ht="17.4" customHeight="1" spans="1:16">
      <c r="A88" s="7" t="s">
        <v>286</v>
      </c>
      <c r="B88" s="12" t="s">
        <v>266</v>
      </c>
      <c r="C88" s="16" t="s">
        <v>105</v>
      </c>
      <c r="D88" s="7" t="s">
        <v>18</v>
      </c>
      <c r="E88" s="13" t="s">
        <v>31</v>
      </c>
      <c r="F88" s="7" t="s">
        <v>287</v>
      </c>
      <c r="G88" s="8">
        <v>253.2</v>
      </c>
      <c r="H88" s="8">
        <v>0</v>
      </c>
      <c r="I88" s="8">
        <v>587.3</v>
      </c>
      <c r="J88" s="8">
        <v>654.3</v>
      </c>
      <c r="K88" s="8">
        <v>698.3</v>
      </c>
      <c r="L88" s="8"/>
      <c r="M88" s="8" t="s">
        <v>19</v>
      </c>
      <c r="P88">
        <f t="shared" si="1"/>
        <v>253.2</v>
      </c>
    </row>
    <row r="89" ht="17.4" customHeight="1" spans="1:16">
      <c r="A89" s="7" t="s">
        <v>288</v>
      </c>
      <c r="B89" s="12" t="s">
        <v>289</v>
      </c>
      <c r="C89" s="12" t="s">
        <v>221</v>
      </c>
      <c r="D89" s="7" t="s">
        <v>18</v>
      </c>
      <c r="E89" s="13" t="s">
        <v>34</v>
      </c>
      <c r="F89" s="7" t="s">
        <v>290</v>
      </c>
      <c r="G89" s="8">
        <v>1032</v>
      </c>
      <c r="H89" s="8">
        <v>0</v>
      </c>
      <c r="I89" s="8">
        <v>1063.76</v>
      </c>
      <c r="J89" s="8">
        <v>1353.01</v>
      </c>
      <c r="K89" s="8">
        <v>1457.3</v>
      </c>
      <c r="L89" s="8"/>
      <c r="M89" s="8" t="s">
        <v>19</v>
      </c>
      <c r="P89">
        <f t="shared" si="1"/>
        <v>1032</v>
      </c>
    </row>
    <row r="90" ht="17.4" customHeight="1" spans="1:16">
      <c r="A90" s="7" t="s">
        <v>291</v>
      </c>
      <c r="B90" s="12" t="s">
        <v>292</v>
      </c>
      <c r="C90" s="12" t="s">
        <v>109</v>
      </c>
      <c r="D90" s="7" t="s">
        <v>126</v>
      </c>
      <c r="E90" s="13" t="s">
        <v>39</v>
      </c>
      <c r="F90" s="7" t="s">
        <v>293</v>
      </c>
      <c r="G90" s="8">
        <v>380</v>
      </c>
      <c r="H90" s="8">
        <v>0</v>
      </c>
      <c r="I90" s="8">
        <v>391.7</v>
      </c>
      <c r="J90" s="8">
        <v>437</v>
      </c>
      <c r="K90" s="8">
        <v>478.91</v>
      </c>
      <c r="L90" s="8"/>
      <c r="M90" s="8" t="s">
        <v>19</v>
      </c>
      <c r="P90">
        <f t="shared" si="1"/>
        <v>380</v>
      </c>
    </row>
    <row r="91" ht="17.4" customHeight="1" spans="1:16">
      <c r="A91" s="7" t="s">
        <v>294</v>
      </c>
      <c r="B91" s="17" t="s">
        <v>295</v>
      </c>
      <c r="C91" s="12" t="s">
        <v>109</v>
      </c>
      <c r="D91" s="7" t="s">
        <v>126</v>
      </c>
      <c r="E91" s="13" t="s">
        <v>15</v>
      </c>
      <c r="F91" s="7" t="s">
        <v>296</v>
      </c>
      <c r="G91" s="8">
        <v>7550</v>
      </c>
      <c r="H91" s="8">
        <v>0</v>
      </c>
      <c r="I91" s="8">
        <v>47600</v>
      </c>
      <c r="J91" s="8">
        <v>59097.2</v>
      </c>
      <c r="K91" s="8">
        <v>56215.3</v>
      </c>
      <c r="L91" s="8"/>
      <c r="M91" s="8" t="s">
        <v>19</v>
      </c>
      <c r="P91">
        <f t="shared" si="1"/>
        <v>7550</v>
      </c>
    </row>
    <row r="92" ht="26.4" customHeight="1" spans="1:16">
      <c r="A92" s="7" t="s">
        <v>297</v>
      </c>
      <c r="B92" s="12" t="s">
        <v>298</v>
      </c>
      <c r="C92" s="12" t="s">
        <v>299</v>
      </c>
      <c r="D92" s="7" t="s">
        <v>126</v>
      </c>
      <c r="E92" s="13" t="s">
        <v>25</v>
      </c>
      <c r="F92" s="7" t="s">
        <v>127</v>
      </c>
      <c r="G92" s="8">
        <v>9500</v>
      </c>
      <c r="H92" s="8">
        <v>4878</v>
      </c>
      <c r="I92" s="8">
        <v>9500</v>
      </c>
      <c r="J92" s="8">
        <v>9950</v>
      </c>
      <c r="K92" s="8">
        <v>10030</v>
      </c>
      <c r="L92" s="8"/>
      <c r="M92" s="8" t="s">
        <v>19</v>
      </c>
      <c r="P92">
        <f t="shared" si="1"/>
        <v>4622</v>
      </c>
    </row>
    <row r="93" ht="17.4" customHeight="1" spans="1:16">
      <c r="A93" s="7" t="s">
        <v>300</v>
      </c>
      <c r="B93" s="12" t="s">
        <v>301</v>
      </c>
      <c r="C93" s="12" t="s">
        <v>152</v>
      </c>
      <c r="D93" s="7" t="s">
        <v>18</v>
      </c>
      <c r="E93" s="13" t="s">
        <v>67</v>
      </c>
      <c r="F93" s="7" t="s">
        <v>302</v>
      </c>
      <c r="G93" s="8">
        <v>256.64</v>
      </c>
      <c r="H93" s="8">
        <v>230.98</v>
      </c>
      <c r="I93" s="8"/>
      <c r="J93" s="8"/>
      <c r="K93" s="8"/>
      <c r="L93" s="8"/>
      <c r="M93" s="8">
        <v>256.64</v>
      </c>
      <c r="P93">
        <f t="shared" si="1"/>
        <v>25.66</v>
      </c>
    </row>
    <row r="94" ht="17.4" customHeight="1" spans="1:16">
      <c r="A94" s="7" t="s">
        <v>303</v>
      </c>
      <c r="B94" s="17" t="s">
        <v>301</v>
      </c>
      <c r="C94" s="12" t="s">
        <v>175</v>
      </c>
      <c r="D94" s="7" t="s">
        <v>18</v>
      </c>
      <c r="E94" s="13" t="s">
        <v>22</v>
      </c>
      <c r="F94" s="7" t="s">
        <v>176</v>
      </c>
      <c r="G94" s="8">
        <v>478</v>
      </c>
      <c r="H94" s="8">
        <v>0</v>
      </c>
      <c r="I94" s="8">
        <v>130.12</v>
      </c>
      <c r="J94" s="8">
        <v>136.84</v>
      </c>
      <c r="K94" s="8">
        <v>141.41</v>
      </c>
      <c r="L94" s="8"/>
      <c r="M94" s="8" t="s">
        <v>19</v>
      </c>
      <c r="P94">
        <f t="shared" si="1"/>
        <v>478</v>
      </c>
    </row>
    <row r="95" ht="17.4" customHeight="1" spans="1:16">
      <c r="A95" s="7" t="s">
        <v>304</v>
      </c>
      <c r="B95" s="12" t="s">
        <v>301</v>
      </c>
      <c r="C95" s="12" t="s">
        <v>162</v>
      </c>
      <c r="D95" s="7" t="s">
        <v>18</v>
      </c>
      <c r="E95" s="13" t="s">
        <v>20</v>
      </c>
      <c r="F95" s="7" t="s">
        <v>305</v>
      </c>
      <c r="G95" s="8">
        <v>574</v>
      </c>
      <c r="H95" s="8">
        <v>488.7</v>
      </c>
      <c r="I95" s="8">
        <v>574</v>
      </c>
      <c r="J95" s="8">
        <v>621.73</v>
      </c>
      <c r="K95" s="8">
        <v>595.62</v>
      </c>
      <c r="L95" s="8"/>
      <c r="M95" s="8" t="s">
        <v>19</v>
      </c>
      <c r="P95">
        <f t="shared" si="1"/>
        <v>85.3</v>
      </c>
    </row>
    <row r="96" ht="17.4" customHeight="1" spans="1:16">
      <c r="A96" s="7" t="s">
        <v>306</v>
      </c>
      <c r="B96" s="15" t="s">
        <v>307</v>
      </c>
      <c r="C96" s="12" t="s">
        <v>308</v>
      </c>
      <c r="D96" s="7" t="s">
        <v>110</v>
      </c>
      <c r="E96" s="13" t="s">
        <v>309</v>
      </c>
      <c r="F96" s="7" t="s">
        <v>310</v>
      </c>
      <c r="G96" s="8">
        <v>17.31</v>
      </c>
      <c r="H96" s="8">
        <v>23.25</v>
      </c>
      <c r="I96" s="8"/>
      <c r="J96" s="8"/>
      <c r="K96" s="8"/>
      <c r="L96" s="8"/>
      <c r="M96" s="8" t="s">
        <v>19</v>
      </c>
      <c r="P96">
        <f t="shared" si="1"/>
        <v>-5.94</v>
      </c>
    </row>
    <row r="97" ht="17.4" customHeight="1" spans="1:16">
      <c r="A97" s="7" t="s">
        <v>311</v>
      </c>
      <c r="B97" s="15" t="s">
        <v>307</v>
      </c>
      <c r="C97" s="12" t="s">
        <v>312</v>
      </c>
      <c r="D97" s="7" t="s">
        <v>110</v>
      </c>
      <c r="E97" s="13" t="s">
        <v>313</v>
      </c>
      <c r="F97" s="7" t="s">
        <v>314</v>
      </c>
      <c r="G97" s="8">
        <v>20.77</v>
      </c>
      <c r="H97" s="8">
        <v>0</v>
      </c>
      <c r="I97" s="8"/>
      <c r="J97" s="8"/>
      <c r="K97" s="8"/>
      <c r="L97" s="8"/>
      <c r="M97" s="8" t="s">
        <v>19</v>
      </c>
      <c r="P97">
        <f t="shared" si="1"/>
        <v>20.77</v>
      </c>
    </row>
    <row r="98" ht="17.4" customHeight="1" spans="1:16">
      <c r="A98" s="7" t="s">
        <v>315</v>
      </c>
      <c r="B98" s="15" t="s">
        <v>307</v>
      </c>
      <c r="C98" s="12" t="s">
        <v>316</v>
      </c>
      <c r="D98" s="7" t="s">
        <v>110</v>
      </c>
      <c r="E98" s="13" t="s">
        <v>317</v>
      </c>
      <c r="F98" s="7" t="s">
        <v>318</v>
      </c>
      <c r="G98" s="8">
        <v>25.96</v>
      </c>
      <c r="H98" s="8">
        <v>34.11</v>
      </c>
      <c r="I98" s="8"/>
      <c r="J98" s="8"/>
      <c r="K98" s="8"/>
      <c r="L98" s="8"/>
      <c r="M98" s="8" t="s">
        <v>19</v>
      </c>
      <c r="P98">
        <f t="shared" si="1"/>
        <v>-8.15</v>
      </c>
    </row>
    <row r="99" ht="17.4" customHeight="1" spans="1:16">
      <c r="A99" s="7" t="s">
        <v>319</v>
      </c>
      <c r="B99" s="15" t="s">
        <v>307</v>
      </c>
      <c r="C99" s="12" t="s">
        <v>320</v>
      </c>
      <c r="D99" s="7" t="s">
        <v>110</v>
      </c>
      <c r="E99" s="13" t="s">
        <v>321</v>
      </c>
      <c r="F99" s="7" t="s">
        <v>322</v>
      </c>
      <c r="G99" s="8">
        <v>34.61</v>
      </c>
      <c r="H99" s="8">
        <v>44.97</v>
      </c>
      <c r="I99" s="8"/>
      <c r="J99" s="8"/>
      <c r="K99" s="8"/>
      <c r="L99" s="8"/>
      <c r="M99" s="8" t="s">
        <v>19</v>
      </c>
      <c r="P99">
        <f t="shared" si="1"/>
        <v>-10.36</v>
      </c>
    </row>
    <row r="100" ht="17.4" customHeight="1" spans="1:16">
      <c r="A100" s="7" t="s">
        <v>323</v>
      </c>
      <c r="B100" s="15" t="s">
        <v>307</v>
      </c>
      <c r="C100" s="12" t="s">
        <v>324</v>
      </c>
      <c r="D100" s="7" t="s">
        <v>110</v>
      </c>
      <c r="E100" s="13" t="s">
        <v>325</v>
      </c>
      <c r="F100" s="7" t="s">
        <v>326</v>
      </c>
      <c r="G100" s="8">
        <v>41.53</v>
      </c>
      <c r="H100" s="8">
        <v>53.66</v>
      </c>
      <c r="I100" s="8"/>
      <c r="J100" s="8"/>
      <c r="K100" s="8"/>
      <c r="L100" s="8"/>
      <c r="M100" s="8" t="s">
        <v>19</v>
      </c>
      <c r="P100">
        <f t="shared" si="1"/>
        <v>-12.13</v>
      </c>
    </row>
    <row r="101" ht="17.4" customHeight="1" spans="1:16">
      <c r="A101" s="7" t="s">
        <v>327</v>
      </c>
      <c r="B101" s="15" t="s">
        <v>307</v>
      </c>
      <c r="C101" s="12" t="s">
        <v>328</v>
      </c>
      <c r="D101" s="7" t="s">
        <v>110</v>
      </c>
      <c r="E101" s="13" t="s">
        <v>329</v>
      </c>
      <c r="F101" s="7" t="s">
        <v>330</v>
      </c>
      <c r="G101" s="8">
        <v>51.92</v>
      </c>
      <c r="H101" s="8">
        <v>0</v>
      </c>
      <c r="I101" s="8"/>
      <c r="J101" s="8"/>
      <c r="K101" s="8"/>
      <c r="L101" s="8"/>
      <c r="M101" s="8" t="s">
        <v>19</v>
      </c>
      <c r="P101">
        <f t="shared" si="1"/>
        <v>51.92</v>
      </c>
    </row>
    <row r="102" ht="17.4" customHeight="1" spans="1:16">
      <c r="A102" s="7" t="s">
        <v>331</v>
      </c>
      <c r="B102" s="15" t="s">
        <v>307</v>
      </c>
      <c r="C102" s="12" t="s">
        <v>332</v>
      </c>
      <c r="D102" s="7" t="s">
        <v>110</v>
      </c>
      <c r="E102" s="13" t="s">
        <v>333</v>
      </c>
      <c r="F102" s="7" t="s">
        <v>334</v>
      </c>
      <c r="G102" s="8">
        <v>121.14</v>
      </c>
      <c r="H102" s="8">
        <v>0</v>
      </c>
      <c r="I102" s="8"/>
      <c r="J102" s="8"/>
      <c r="K102" s="8"/>
      <c r="L102" s="8"/>
      <c r="M102" s="8" t="s">
        <v>19</v>
      </c>
      <c r="P102">
        <f t="shared" si="1"/>
        <v>121.14</v>
      </c>
    </row>
    <row r="103" ht="17.4" customHeight="1" spans="1:16">
      <c r="A103" s="7" t="s">
        <v>335</v>
      </c>
      <c r="B103" s="15" t="s">
        <v>336</v>
      </c>
      <c r="C103" s="12" t="s">
        <v>337</v>
      </c>
      <c r="D103" s="7" t="s">
        <v>153</v>
      </c>
      <c r="E103" s="13" t="s">
        <v>338</v>
      </c>
      <c r="F103" s="7" t="s">
        <v>339</v>
      </c>
      <c r="G103" s="8">
        <v>14.23</v>
      </c>
      <c r="H103" s="8">
        <v>15.65</v>
      </c>
      <c r="I103" s="8"/>
      <c r="J103" s="8"/>
      <c r="K103" s="8"/>
      <c r="L103" s="8"/>
      <c r="M103" s="8" t="s">
        <v>19</v>
      </c>
      <c r="P103">
        <f t="shared" si="1"/>
        <v>-1.42</v>
      </c>
    </row>
    <row r="104" ht="17.4" customHeight="1" spans="1:16">
      <c r="A104" s="7" t="s">
        <v>340</v>
      </c>
      <c r="B104" s="15" t="s">
        <v>336</v>
      </c>
      <c r="C104" s="12" t="s">
        <v>341</v>
      </c>
      <c r="D104" s="7" t="s">
        <v>153</v>
      </c>
      <c r="E104" s="13" t="s">
        <v>342</v>
      </c>
      <c r="F104" s="7" t="s">
        <v>343</v>
      </c>
      <c r="G104" s="8">
        <v>17.46</v>
      </c>
      <c r="H104" s="8">
        <v>17.96</v>
      </c>
      <c r="I104" s="8"/>
      <c r="J104" s="8"/>
      <c r="K104" s="8"/>
      <c r="L104" s="8"/>
      <c r="M104" s="8" t="s">
        <v>19</v>
      </c>
      <c r="P104">
        <f t="shared" si="1"/>
        <v>-0.5</v>
      </c>
    </row>
    <row r="105" ht="17.4" customHeight="1" spans="1:16">
      <c r="A105" s="7" t="s">
        <v>344</v>
      </c>
      <c r="B105" s="15" t="s">
        <v>336</v>
      </c>
      <c r="C105" s="12" t="s">
        <v>345</v>
      </c>
      <c r="D105" s="7" t="s">
        <v>153</v>
      </c>
      <c r="E105" s="13" t="s">
        <v>346</v>
      </c>
      <c r="F105" s="7" t="s">
        <v>347</v>
      </c>
      <c r="G105" s="8">
        <v>22.19</v>
      </c>
      <c r="H105" s="8">
        <v>0</v>
      </c>
      <c r="I105" s="8"/>
      <c r="J105" s="8"/>
      <c r="K105" s="8"/>
      <c r="L105" s="8"/>
      <c r="M105" s="8" t="s">
        <v>19</v>
      </c>
      <c r="P105">
        <f t="shared" si="1"/>
        <v>22.19</v>
      </c>
    </row>
    <row r="106" ht="17.4" customHeight="1" spans="1:16">
      <c r="A106" s="7" t="s">
        <v>348</v>
      </c>
      <c r="B106" s="15" t="s">
        <v>349</v>
      </c>
      <c r="C106" s="12" t="s">
        <v>337</v>
      </c>
      <c r="D106" s="7" t="s">
        <v>18</v>
      </c>
      <c r="E106" s="13" t="s">
        <v>350</v>
      </c>
      <c r="F106" s="7" t="s">
        <v>351</v>
      </c>
      <c r="G106" s="8">
        <v>5.48</v>
      </c>
      <c r="H106" s="8">
        <v>4.62</v>
      </c>
      <c r="I106" s="8"/>
      <c r="J106" s="8"/>
      <c r="K106" s="8"/>
      <c r="L106" s="8"/>
      <c r="M106" s="8" t="s">
        <v>19</v>
      </c>
      <c r="P106">
        <f t="shared" si="1"/>
        <v>0.86</v>
      </c>
    </row>
    <row r="107" ht="17.4" customHeight="1" spans="1:16">
      <c r="A107" s="7" t="s">
        <v>352</v>
      </c>
      <c r="B107" s="15" t="s">
        <v>349</v>
      </c>
      <c r="C107" s="12" t="s">
        <v>341</v>
      </c>
      <c r="D107" s="7" t="s">
        <v>18</v>
      </c>
      <c r="E107" s="13" t="s">
        <v>353</v>
      </c>
      <c r="F107" s="7" t="s">
        <v>354</v>
      </c>
      <c r="G107" s="8">
        <v>6.8</v>
      </c>
      <c r="H107" s="8">
        <v>5.43</v>
      </c>
      <c r="I107" s="8"/>
      <c r="J107" s="8"/>
      <c r="K107" s="8"/>
      <c r="L107" s="8"/>
      <c r="M107" s="8" t="s">
        <v>19</v>
      </c>
      <c r="P107">
        <f t="shared" si="1"/>
        <v>1.37</v>
      </c>
    </row>
    <row r="108" ht="17.4" customHeight="1" spans="1:16">
      <c r="A108" s="7" t="s">
        <v>355</v>
      </c>
      <c r="B108" s="15" t="s">
        <v>349</v>
      </c>
      <c r="C108" s="12" t="s">
        <v>345</v>
      </c>
      <c r="D108" s="7" t="s">
        <v>18</v>
      </c>
      <c r="E108" s="13" t="s">
        <v>356</v>
      </c>
      <c r="F108" s="7" t="s">
        <v>357</v>
      </c>
      <c r="G108" s="8">
        <v>10.07</v>
      </c>
      <c r="H108" s="8">
        <v>0</v>
      </c>
      <c r="I108" s="8"/>
      <c r="J108" s="8"/>
      <c r="K108" s="8"/>
      <c r="L108" s="8"/>
      <c r="M108" s="8" t="s">
        <v>19</v>
      </c>
      <c r="P108">
        <f t="shared" si="1"/>
        <v>10.07</v>
      </c>
    </row>
    <row r="109" ht="17.4" customHeight="1" spans="1:16">
      <c r="A109" s="7" t="s">
        <v>358</v>
      </c>
      <c r="B109" s="12" t="s">
        <v>359</v>
      </c>
      <c r="C109" s="12" t="s">
        <v>360</v>
      </c>
      <c r="D109" s="7" t="s">
        <v>361</v>
      </c>
      <c r="E109" s="13" t="s">
        <v>362</v>
      </c>
      <c r="F109" s="7" t="s">
        <v>363</v>
      </c>
      <c r="G109" s="8">
        <v>4.38</v>
      </c>
      <c r="H109" s="8">
        <v>3.6</v>
      </c>
      <c r="I109" s="8">
        <v>5.94</v>
      </c>
      <c r="J109" s="8">
        <v>6.29</v>
      </c>
      <c r="K109" s="8">
        <v>6.27</v>
      </c>
      <c r="L109" s="8"/>
      <c r="M109" s="8" t="s">
        <v>19</v>
      </c>
      <c r="P109">
        <f t="shared" si="1"/>
        <v>0.78</v>
      </c>
    </row>
    <row r="110" ht="17.4" customHeight="1" spans="1:16">
      <c r="A110" s="7" t="s">
        <v>364</v>
      </c>
      <c r="B110" s="12" t="s">
        <v>365</v>
      </c>
      <c r="C110" s="12" t="s">
        <v>109</v>
      </c>
      <c r="D110" s="7" t="s">
        <v>115</v>
      </c>
      <c r="E110" s="13" t="s">
        <v>366</v>
      </c>
      <c r="F110" s="7" t="s">
        <v>367</v>
      </c>
      <c r="G110" s="8">
        <v>1752.21</v>
      </c>
      <c r="H110" s="8">
        <v>1752.21</v>
      </c>
      <c r="I110" s="8"/>
      <c r="J110" s="8"/>
      <c r="K110" s="8"/>
      <c r="L110" s="8"/>
      <c r="M110" s="8">
        <v>1752.21</v>
      </c>
      <c r="P110">
        <f t="shared" si="1"/>
        <v>0</v>
      </c>
    </row>
    <row r="111" ht="17.4" customHeight="1" spans="1:16">
      <c r="A111" s="7" t="s">
        <v>368</v>
      </c>
      <c r="B111" s="12" t="s">
        <v>369</v>
      </c>
      <c r="C111" s="12" t="s">
        <v>255</v>
      </c>
      <c r="D111" s="7" t="s">
        <v>18</v>
      </c>
      <c r="E111" s="13" t="s">
        <v>27</v>
      </c>
      <c r="F111" s="7" t="s">
        <v>370</v>
      </c>
      <c r="G111" s="8">
        <v>179.2</v>
      </c>
      <c r="H111" s="8">
        <v>114.25</v>
      </c>
      <c r="I111" s="8">
        <v>245.1</v>
      </c>
      <c r="J111" s="8">
        <v>285.3</v>
      </c>
      <c r="K111" s="8">
        <v>297.6</v>
      </c>
      <c r="L111" s="8"/>
      <c r="M111" s="8" t="s">
        <v>19</v>
      </c>
      <c r="P111">
        <f t="shared" si="1"/>
        <v>64.95</v>
      </c>
    </row>
    <row r="112" ht="17.4" customHeight="1" spans="1:16">
      <c r="A112" s="7" t="s">
        <v>371</v>
      </c>
      <c r="B112" s="12" t="s">
        <v>369</v>
      </c>
      <c r="C112" s="12" t="s">
        <v>21</v>
      </c>
      <c r="D112" s="7" t="s">
        <v>18</v>
      </c>
      <c r="E112" s="13" t="s">
        <v>93</v>
      </c>
      <c r="F112" s="7" t="s">
        <v>372</v>
      </c>
      <c r="G112" s="8">
        <v>35.84</v>
      </c>
      <c r="H112" s="8">
        <v>37.83</v>
      </c>
      <c r="I112" s="8">
        <v>80.5</v>
      </c>
      <c r="J112" s="8">
        <v>85.5</v>
      </c>
      <c r="K112" s="8">
        <v>92.5</v>
      </c>
      <c r="L112" s="8"/>
      <c r="M112" s="8" t="s">
        <v>19</v>
      </c>
      <c r="P112">
        <f t="shared" si="1"/>
        <v>-1.98999999999999</v>
      </c>
    </row>
    <row r="113" ht="17.4" customHeight="1" spans="1:16">
      <c r="A113" s="7" t="s">
        <v>373</v>
      </c>
      <c r="B113" s="12" t="s">
        <v>369</v>
      </c>
      <c r="C113" s="12" t="s">
        <v>96</v>
      </c>
      <c r="D113" s="7" t="s">
        <v>18</v>
      </c>
      <c r="E113" s="13" t="s">
        <v>27</v>
      </c>
      <c r="F113" s="7" t="s">
        <v>374</v>
      </c>
      <c r="G113" s="8">
        <v>44.8</v>
      </c>
      <c r="H113" s="8">
        <v>21.74</v>
      </c>
      <c r="I113" s="8">
        <v>65.3</v>
      </c>
      <c r="J113" s="8">
        <v>75.3</v>
      </c>
      <c r="K113" s="8">
        <v>79.8</v>
      </c>
      <c r="L113" s="8"/>
      <c r="M113" s="8" t="s">
        <v>19</v>
      </c>
      <c r="P113">
        <f t="shared" si="1"/>
        <v>23.06</v>
      </c>
    </row>
    <row r="114" ht="17.4" customHeight="1" spans="1:16">
      <c r="A114" s="7" t="s">
        <v>375</v>
      </c>
      <c r="B114" s="12" t="s">
        <v>369</v>
      </c>
      <c r="C114" s="12" t="s">
        <v>376</v>
      </c>
      <c r="D114" s="7" t="s">
        <v>18</v>
      </c>
      <c r="E114" s="13" t="s">
        <v>27</v>
      </c>
      <c r="F114" s="7" t="s">
        <v>377</v>
      </c>
      <c r="G114" s="8">
        <v>71.68</v>
      </c>
      <c r="H114" s="8">
        <v>57.9</v>
      </c>
      <c r="I114" s="8">
        <v>85.6</v>
      </c>
      <c r="J114" s="8">
        <v>95.8</v>
      </c>
      <c r="K114" s="8">
        <v>105.5</v>
      </c>
      <c r="L114" s="8"/>
      <c r="M114" s="8" t="s">
        <v>19</v>
      </c>
      <c r="P114">
        <f t="shared" si="1"/>
        <v>13.78</v>
      </c>
    </row>
    <row r="115" ht="17.4" customHeight="1" spans="1:16">
      <c r="A115" s="7" t="s">
        <v>378</v>
      </c>
      <c r="B115" s="12" t="s">
        <v>369</v>
      </c>
      <c r="C115" s="12" t="s">
        <v>26</v>
      </c>
      <c r="D115" s="7" t="s">
        <v>18</v>
      </c>
      <c r="E115" s="13" t="s">
        <v>27</v>
      </c>
      <c r="F115" s="7" t="s">
        <v>377</v>
      </c>
      <c r="G115" s="8">
        <v>71.68</v>
      </c>
      <c r="H115" s="8">
        <v>29.04</v>
      </c>
      <c r="I115" s="8">
        <v>85.9</v>
      </c>
      <c r="J115" s="8">
        <v>98.5</v>
      </c>
      <c r="K115" s="8">
        <v>105.3</v>
      </c>
      <c r="L115" s="8"/>
      <c r="M115" s="8" t="s">
        <v>19</v>
      </c>
      <c r="P115">
        <f t="shared" si="1"/>
        <v>42.64</v>
      </c>
    </row>
    <row r="116" ht="17.4" customHeight="1" spans="1:16">
      <c r="A116" s="7" t="s">
        <v>379</v>
      </c>
      <c r="B116" s="12" t="s">
        <v>369</v>
      </c>
      <c r="C116" s="12" t="s">
        <v>49</v>
      </c>
      <c r="D116" s="7" t="s">
        <v>18</v>
      </c>
      <c r="E116" s="13" t="s">
        <v>27</v>
      </c>
      <c r="F116" s="7" t="s">
        <v>380</v>
      </c>
      <c r="G116" s="8">
        <v>143.36</v>
      </c>
      <c r="H116" s="8">
        <v>95.26</v>
      </c>
      <c r="I116" s="8">
        <v>258.3</v>
      </c>
      <c r="J116" s="8">
        <v>275.8</v>
      </c>
      <c r="K116" s="8">
        <v>285.6</v>
      </c>
      <c r="L116" s="8"/>
      <c r="M116" s="8" t="s">
        <v>19</v>
      </c>
      <c r="P116">
        <f t="shared" si="1"/>
        <v>48.1</v>
      </c>
    </row>
    <row r="117" ht="17.4" customHeight="1" spans="1:16">
      <c r="A117" s="7" t="s">
        <v>381</v>
      </c>
      <c r="B117" s="12" t="s">
        <v>369</v>
      </c>
      <c r="C117" s="12" t="s">
        <v>105</v>
      </c>
      <c r="D117" s="7" t="s">
        <v>18</v>
      </c>
      <c r="E117" s="13" t="s">
        <v>31</v>
      </c>
      <c r="F117" s="7" t="s">
        <v>370</v>
      </c>
      <c r="G117" s="8">
        <v>179.2</v>
      </c>
      <c r="H117" s="8">
        <v>0</v>
      </c>
      <c r="I117" s="8">
        <v>245.6</v>
      </c>
      <c r="J117" s="8">
        <v>286.5</v>
      </c>
      <c r="K117" s="8">
        <v>298.6</v>
      </c>
      <c r="L117" s="8"/>
      <c r="M117" s="8" t="s">
        <v>19</v>
      </c>
      <c r="P117">
        <f t="shared" si="1"/>
        <v>179.2</v>
      </c>
    </row>
    <row r="118" ht="17.4" customHeight="1" spans="1:16">
      <c r="A118" s="7" t="s">
        <v>382</v>
      </c>
      <c r="B118" s="12" t="s">
        <v>383</v>
      </c>
      <c r="C118" s="12" t="s">
        <v>109</v>
      </c>
      <c r="D118" s="7" t="s">
        <v>18</v>
      </c>
      <c r="E118" s="13" t="s">
        <v>263</v>
      </c>
      <c r="F118" s="7" t="s">
        <v>384</v>
      </c>
      <c r="G118" s="8">
        <v>17</v>
      </c>
      <c r="H118" s="8">
        <v>9</v>
      </c>
      <c r="I118" s="8">
        <v>23.05</v>
      </c>
      <c r="J118" s="8">
        <v>24.08</v>
      </c>
      <c r="K118" s="8">
        <v>24.13</v>
      </c>
      <c r="L118" s="8"/>
      <c r="M118" s="8" t="s">
        <v>19</v>
      </c>
      <c r="P118">
        <f t="shared" si="1"/>
        <v>8</v>
      </c>
    </row>
    <row r="119" ht="17.4" customHeight="1" spans="1:16">
      <c r="A119" s="7" t="s">
        <v>385</v>
      </c>
      <c r="B119" s="12" t="s">
        <v>386</v>
      </c>
      <c r="C119" s="12" t="s">
        <v>387</v>
      </c>
      <c r="D119" s="7" t="s">
        <v>126</v>
      </c>
      <c r="E119" s="13" t="s">
        <v>39</v>
      </c>
      <c r="F119" s="7" t="s">
        <v>388</v>
      </c>
      <c r="G119" s="8">
        <v>4079</v>
      </c>
      <c r="H119" s="8">
        <v>3057.62</v>
      </c>
      <c r="I119" s="8">
        <v>5973</v>
      </c>
      <c r="J119" s="8">
        <v>6073</v>
      </c>
      <c r="K119" s="8">
        <v>7515</v>
      </c>
      <c r="L119" s="8"/>
      <c r="M119" s="8" t="s">
        <v>19</v>
      </c>
      <c r="N119" s="2">
        <f>I119-G119</f>
        <v>1894</v>
      </c>
      <c r="O119" s="2">
        <f>N119/F119</f>
        <v>0.464329492522677</v>
      </c>
      <c r="P119">
        <f t="shared" si="1"/>
        <v>1021.38</v>
      </c>
    </row>
    <row r="120" ht="17.4" customHeight="1" spans="1:16">
      <c r="A120" s="7" t="s">
        <v>389</v>
      </c>
      <c r="B120" s="12" t="s">
        <v>390</v>
      </c>
      <c r="C120" s="12" t="s">
        <v>341</v>
      </c>
      <c r="D120" s="7" t="s">
        <v>18</v>
      </c>
      <c r="E120" s="13" t="s">
        <v>34</v>
      </c>
      <c r="F120" s="7" t="s">
        <v>391</v>
      </c>
      <c r="G120" s="8">
        <v>75</v>
      </c>
      <c r="H120" s="8">
        <v>0</v>
      </c>
      <c r="I120" s="8">
        <v>82.5</v>
      </c>
      <c r="J120" s="8">
        <v>85.88</v>
      </c>
      <c r="K120" s="8">
        <v>90.22</v>
      </c>
      <c r="L120" s="8"/>
      <c r="M120" s="8" t="s">
        <v>19</v>
      </c>
      <c r="P120">
        <f t="shared" si="1"/>
        <v>75</v>
      </c>
    </row>
    <row r="121" ht="17.4" customHeight="1" spans="1:16">
      <c r="A121" s="7" t="s">
        <v>392</v>
      </c>
      <c r="B121" s="12" t="s">
        <v>393</v>
      </c>
      <c r="C121" s="12" t="s">
        <v>109</v>
      </c>
      <c r="D121" s="7" t="s">
        <v>110</v>
      </c>
      <c r="E121" s="13" t="s">
        <v>394</v>
      </c>
      <c r="F121" s="7" t="s">
        <v>395</v>
      </c>
      <c r="G121" s="8">
        <v>20.75</v>
      </c>
      <c r="H121" s="8">
        <v>0</v>
      </c>
      <c r="I121" s="8">
        <v>28.14</v>
      </c>
      <c r="J121" s="8">
        <v>29.57</v>
      </c>
      <c r="K121" s="8">
        <v>29.34</v>
      </c>
      <c r="L121" s="8"/>
      <c r="M121" s="8" t="s">
        <v>19</v>
      </c>
      <c r="P121">
        <f t="shared" si="1"/>
        <v>20.75</v>
      </c>
    </row>
    <row r="122" ht="17.4" customHeight="1" spans="1:16">
      <c r="A122" s="7" t="s">
        <v>396</v>
      </c>
      <c r="B122" s="12" t="s">
        <v>397</v>
      </c>
      <c r="C122" s="12" t="s">
        <v>109</v>
      </c>
      <c r="D122" s="7" t="s">
        <v>398</v>
      </c>
      <c r="E122" s="13" t="s">
        <v>399</v>
      </c>
      <c r="F122" s="7" t="s">
        <v>117</v>
      </c>
      <c r="G122" s="8">
        <v>310</v>
      </c>
      <c r="H122" s="8">
        <v>0</v>
      </c>
      <c r="I122" s="8"/>
      <c r="J122" s="8"/>
      <c r="K122" s="8"/>
      <c r="L122" s="8"/>
      <c r="M122" s="18">
        <v>300</v>
      </c>
      <c r="N122" s="19"/>
      <c r="O122" s="19"/>
      <c r="P122">
        <f t="shared" si="1"/>
        <v>310</v>
      </c>
    </row>
    <row r="123" ht="17.4" customHeight="1" spans="1:16">
      <c r="A123" s="7" t="s">
        <v>400</v>
      </c>
      <c r="B123" s="12" t="s">
        <v>397</v>
      </c>
      <c r="C123" s="12" t="s">
        <v>401</v>
      </c>
      <c r="D123" s="7" t="s">
        <v>398</v>
      </c>
      <c r="E123" s="13" t="s">
        <v>402</v>
      </c>
      <c r="F123" s="7" t="s">
        <v>117</v>
      </c>
      <c r="G123" s="8">
        <v>310</v>
      </c>
      <c r="H123" s="8">
        <v>320</v>
      </c>
      <c r="I123" s="8"/>
      <c r="J123" s="8"/>
      <c r="K123" s="8"/>
      <c r="L123" s="8"/>
      <c r="M123" s="8">
        <v>300</v>
      </c>
      <c r="P123">
        <f t="shared" si="1"/>
        <v>-10</v>
      </c>
    </row>
    <row r="124" ht="17.4" customHeight="1" spans="1:16">
      <c r="A124" s="7" t="s">
        <v>403</v>
      </c>
      <c r="B124" s="17" t="s">
        <v>404</v>
      </c>
      <c r="C124" s="12" t="s">
        <v>405</v>
      </c>
      <c r="D124" s="7" t="s">
        <v>361</v>
      </c>
      <c r="E124" s="13" t="s">
        <v>406</v>
      </c>
      <c r="F124" s="7" t="s">
        <v>407</v>
      </c>
      <c r="G124" s="8">
        <v>3.24</v>
      </c>
      <c r="H124" s="8">
        <v>0</v>
      </c>
      <c r="I124" s="8"/>
      <c r="J124" s="8"/>
      <c r="K124" s="8"/>
      <c r="L124" s="8"/>
      <c r="M124" s="8" t="s">
        <v>19</v>
      </c>
      <c r="P124">
        <f t="shared" si="1"/>
        <v>3.24</v>
      </c>
    </row>
    <row r="125" ht="17.4" customHeight="1" spans="1:16">
      <c r="A125" s="7" t="s">
        <v>408</v>
      </c>
      <c r="B125" s="12" t="s">
        <v>409</v>
      </c>
      <c r="C125" s="12" t="s">
        <v>109</v>
      </c>
      <c r="D125" s="7" t="s">
        <v>55</v>
      </c>
      <c r="E125" s="13" t="s">
        <v>20</v>
      </c>
      <c r="F125" s="7" t="s">
        <v>38</v>
      </c>
      <c r="G125" s="8">
        <v>180</v>
      </c>
      <c r="H125" s="8">
        <v>0</v>
      </c>
      <c r="I125" s="8">
        <v>244.08</v>
      </c>
      <c r="J125" s="8">
        <v>258.62</v>
      </c>
      <c r="K125" s="8">
        <v>258.28</v>
      </c>
      <c r="L125" s="8"/>
      <c r="M125" s="8" t="s">
        <v>19</v>
      </c>
      <c r="P125">
        <f t="shared" si="1"/>
        <v>180</v>
      </c>
    </row>
    <row r="126" ht="17.4" customHeight="1" spans="1:16">
      <c r="A126" s="7" t="s">
        <v>410</v>
      </c>
      <c r="B126" s="12" t="s">
        <v>411</v>
      </c>
      <c r="C126" s="12" t="s">
        <v>412</v>
      </c>
      <c r="D126" s="7" t="s">
        <v>398</v>
      </c>
      <c r="E126" s="13" t="s">
        <v>413</v>
      </c>
      <c r="F126" s="7" t="s">
        <v>414</v>
      </c>
      <c r="G126" s="8">
        <v>3160</v>
      </c>
      <c r="H126" s="8">
        <v>3377.16</v>
      </c>
      <c r="I126" s="8"/>
      <c r="J126" s="8"/>
      <c r="K126" s="8"/>
      <c r="L126" s="8"/>
      <c r="M126" s="8">
        <v>3160</v>
      </c>
      <c r="P126">
        <f t="shared" si="1"/>
        <v>-217.16</v>
      </c>
    </row>
    <row r="127" ht="17.4" customHeight="1" spans="1:16">
      <c r="A127" s="7" t="s">
        <v>415</v>
      </c>
      <c r="B127" s="12" t="s">
        <v>411</v>
      </c>
      <c r="C127" s="12" t="s">
        <v>416</v>
      </c>
      <c r="D127" s="7" t="s">
        <v>398</v>
      </c>
      <c r="E127" s="13" t="s">
        <v>417</v>
      </c>
      <c r="F127" s="7" t="s">
        <v>414</v>
      </c>
      <c r="G127" s="8">
        <v>3160</v>
      </c>
      <c r="H127" s="8">
        <v>3377.16</v>
      </c>
      <c r="I127" s="8"/>
      <c r="J127" s="8"/>
      <c r="K127" s="8"/>
      <c r="L127" s="8"/>
      <c r="M127" s="8">
        <v>3160</v>
      </c>
      <c r="P127">
        <f t="shared" si="1"/>
        <v>-217.16</v>
      </c>
    </row>
    <row r="128" ht="17.4" customHeight="1" spans="1:16">
      <c r="A128" s="7" t="s">
        <v>418</v>
      </c>
      <c r="B128" s="17" t="s">
        <v>411</v>
      </c>
      <c r="C128" s="12" t="s">
        <v>419</v>
      </c>
      <c r="D128" s="7" t="s">
        <v>398</v>
      </c>
      <c r="E128" s="13" t="s">
        <v>420</v>
      </c>
      <c r="F128" s="7" t="s">
        <v>414</v>
      </c>
      <c r="G128" s="8">
        <v>3160</v>
      </c>
      <c r="H128" s="8">
        <v>0</v>
      </c>
      <c r="I128" s="8"/>
      <c r="J128" s="8"/>
      <c r="K128" s="8"/>
      <c r="L128" s="8"/>
      <c r="M128" s="8" t="s">
        <v>19</v>
      </c>
      <c r="P128">
        <f t="shared" si="1"/>
        <v>3160</v>
      </c>
    </row>
    <row r="129" ht="26.4" customHeight="1" spans="1:17">
      <c r="A129" s="7" t="s">
        <v>421</v>
      </c>
      <c r="B129" s="12" t="s">
        <v>422</v>
      </c>
      <c r="C129" s="12" t="s">
        <v>175</v>
      </c>
      <c r="D129" s="7" t="s">
        <v>153</v>
      </c>
      <c r="E129" s="13" t="s">
        <v>423</v>
      </c>
      <c r="F129" s="7" t="s">
        <v>424</v>
      </c>
      <c r="G129" s="8">
        <v>118.57</v>
      </c>
      <c r="H129" s="8">
        <v>0</v>
      </c>
      <c r="I129" s="8">
        <v>118.57</v>
      </c>
      <c r="J129" s="8">
        <v>131.9</v>
      </c>
      <c r="K129" s="8">
        <v>133.83</v>
      </c>
      <c r="L129" s="8"/>
      <c r="M129" s="8" t="s">
        <v>19</v>
      </c>
      <c r="P129">
        <f t="shared" si="1"/>
        <v>118.57</v>
      </c>
    </row>
    <row r="130" ht="26.4" customHeight="1" spans="1:17">
      <c r="A130" s="7" t="s">
        <v>425</v>
      </c>
      <c r="B130" s="12" t="s">
        <v>422</v>
      </c>
      <c r="C130" s="12" t="s">
        <v>162</v>
      </c>
      <c r="D130" s="7" t="s">
        <v>153</v>
      </c>
      <c r="E130" s="13" t="s">
        <v>426</v>
      </c>
      <c r="F130" s="7" t="s">
        <v>427</v>
      </c>
      <c r="G130" s="8">
        <v>154.68</v>
      </c>
      <c r="H130" s="8">
        <v>0</v>
      </c>
      <c r="I130" s="8">
        <v>154.68</v>
      </c>
      <c r="J130" s="8">
        <v>166.3</v>
      </c>
      <c r="K130" s="8">
        <v>166.43</v>
      </c>
      <c r="L130" s="8"/>
      <c r="M130" s="8" t="s">
        <v>19</v>
      </c>
      <c r="P130">
        <f t="shared" si="1"/>
        <v>154.68</v>
      </c>
    </row>
    <row r="131" ht="26.4" customHeight="1" spans="1:17">
      <c r="A131" s="7" t="s">
        <v>428</v>
      </c>
      <c r="B131" s="12" t="s">
        <v>422</v>
      </c>
      <c r="C131" s="12" t="s">
        <v>429</v>
      </c>
      <c r="D131" s="7" t="s">
        <v>153</v>
      </c>
      <c r="E131" s="13" t="s">
        <v>430</v>
      </c>
      <c r="F131" s="7" t="s">
        <v>431</v>
      </c>
      <c r="G131" s="8">
        <v>337.42</v>
      </c>
      <c r="H131" s="8">
        <v>0</v>
      </c>
      <c r="I131" s="8">
        <v>337.42</v>
      </c>
      <c r="J131" s="8">
        <v>363.29</v>
      </c>
      <c r="K131" s="8">
        <v>377.36</v>
      </c>
      <c r="L131" s="8"/>
      <c r="M131" s="8" t="s">
        <v>19</v>
      </c>
      <c r="P131">
        <f t="shared" si="1"/>
        <v>337.42</v>
      </c>
    </row>
    <row r="132" ht="26.4" customHeight="1" spans="1:17">
      <c r="A132" s="7" t="s">
        <v>432</v>
      </c>
      <c r="B132" s="12" t="s">
        <v>422</v>
      </c>
      <c r="C132" s="12" t="s">
        <v>180</v>
      </c>
      <c r="D132" s="7" t="s">
        <v>153</v>
      </c>
      <c r="E132" s="13" t="s">
        <v>433</v>
      </c>
      <c r="F132" s="7" t="s">
        <v>434</v>
      </c>
      <c r="G132" s="8">
        <v>39.86</v>
      </c>
      <c r="H132" s="8">
        <v>0</v>
      </c>
      <c r="I132" s="8">
        <v>39.86</v>
      </c>
      <c r="J132" s="8">
        <v>42.08</v>
      </c>
      <c r="K132" s="8">
        <v>43.38</v>
      </c>
      <c r="L132" s="8"/>
      <c r="M132" s="8" t="s">
        <v>19</v>
      </c>
      <c r="P132">
        <f t="shared" si="1"/>
        <v>39.86</v>
      </c>
    </row>
    <row r="133" ht="26.4" customHeight="1" spans="1:17">
      <c r="A133" s="7" t="s">
        <v>435</v>
      </c>
      <c r="B133" s="12" t="s">
        <v>436</v>
      </c>
      <c r="C133" s="12" t="s">
        <v>175</v>
      </c>
      <c r="D133" s="7" t="s">
        <v>18</v>
      </c>
      <c r="E133" s="13" t="s">
        <v>437</v>
      </c>
      <c r="F133" s="7" t="s">
        <v>438</v>
      </c>
      <c r="G133" s="8">
        <v>101.67</v>
      </c>
      <c r="H133" s="8">
        <v>0</v>
      </c>
      <c r="I133" s="8">
        <v>101.67</v>
      </c>
      <c r="J133" s="8">
        <v>113.19</v>
      </c>
      <c r="K133" s="8">
        <v>112.88</v>
      </c>
      <c r="L133" s="8"/>
      <c r="M133" s="8" t="s">
        <v>19</v>
      </c>
      <c r="P133">
        <f t="shared" ref="P133:P196" si="2">F133-H133</f>
        <v>101.67</v>
      </c>
    </row>
    <row r="134" ht="26.4" customHeight="1" spans="1:17">
      <c r="A134" s="7" t="s">
        <v>439</v>
      </c>
      <c r="B134" s="12" t="s">
        <v>436</v>
      </c>
      <c r="C134" s="12" t="s">
        <v>162</v>
      </c>
      <c r="D134" s="7" t="s">
        <v>18</v>
      </c>
      <c r="E134" s="13" t="s">
        <v>440</v>
      </c>
      <c r="F134" s="7" t="s">
        <v>441</v>
      </c>
      <c r="G134" s="8">
        <v>110</v>
      </c>
      <c r="H134" s="8">
        <v>0</v>
      </c>
      <c r="I134" s="8">
        <v>155.25</v>
      </c>
      <c r="J134" s="8">
        <v>162.71</v>
      </c>
      <c r="K134" s="8">
        <v>170.61</v>
      </c>
      <c r="L134" s="8"/>
      <c r="M134" s="8" t="s">
        <v>19</v>
      </c>
      <c r="P134">
        <f t="shared" si="2"/>
        <v>110</v>
      </c>
    </row>
    <row r="135" ht="26.4" customHeight="1" spans="1:17">
      <c r="A135" s="7" t="s">
        <v>442</v>
      </c>
      <c r="B135" s="12" t="s">
        <v>436</v>
      </c>
      <c r="C135" s="12" t="s">
        <v>429</v>
      </c>
      <c r="D135" s="7" t="s">
        <v>18</v>
      </c>
      <c r="E135" s="13" t="s">
        <v>443</v>
      </c>
      <c r="F135" s="7" t="s">
        <v>444</v>
      </c>
      <c r="G135" s="8">
        <v>120</v>
      </c>
      <c r="H135" s="8">
        <v>0</v>
      </c>
      <c r="I135" s="8">
        <v>209.15</v>
      </c>
      <c r="J135" s="8">
        <v>215.89</v>
      </c>
      <c r="K135" s="8">
        <v>224.86</v>
      </c>
      <c r="L135" s="8"/>
      <c r="M135" s="8" t="s">
        <v>19</v>
      </c>
      <c r="P135">
        <f t="shared" si="2"/>
        <v>120</v>
      </c>
    </row>
    <row r="136" ht="26.4" customHeight="1" spans="1:17">
      <c r="A136" s="7" t="s">
        <v>445</v>
      </c>
      <c r="B136" s="12" t="s">
        <v>436</v>
      </c>
      <c r="C136" s="12" t="s">
        <v>180</v>
      </c>
      <c r="D136" s="7" t="s">
        <v>18</v>
      </c>
      <c r="E136" s="13" t="s">
        <v>446</v>
      </c>
      <c r="F136" s="7" t="s">
        <v>447</v>
      </c>
      <c r="G136" s="8">
        <v>21.19</v>
      </c>
      <c r="H136" s="8">
        <v>0</v>
      </c>
      <c r="I136" s="8">
        <v>21.19</v>
      </c>
      <c r="J136" s="8">
        <v>23.25</v>
      </c>
      <c r="K136" s="8">
        <v>23.72</v>
      </c>
      <c r="L136" s="8"/>
      <c r="M136" s="8" t="s">
        <v>19</v>
      </c>
      <c r="P136">
        <f t="shared" si="2"/>
        <v>21.19</v>
      </c>
    </row>
    <row r="137" ht="38.4" customHeight="1" spans="1:17">
      <c r="A137" s="7" t="s">
        <v>448</v>
      </c>
      <c r="B137" s="12" t="s">
        <v>449</v>
      </c>
      <c r="C137" s="12" t="s">
        <v>450</v>
      </c>
      <c r="D137" s="7" t="s">
        <v>126</v>
      </c>
      <c r="E137" s="13" t="s">
        <v>15</v>
      </c>
      <c r="F137" s="7" t="s">
        <v>451</v>
      </c>
      <c r="G137" s="8">
        <v>3605.8</v>
      </c>
      <c r="H137" s="8">
        <v>3910.6</v>
      </c>
      <c r="I137" s="8">
        <v>4359.5</v>
      </c>
      <c r="J137" s="8">
        <v>4915.6</v>
      </c>
      <c r="K137" s="8">
        <v>5317.8</v>
      </c>
      <c r="L137" s="8"/>
      <c r="M137" s="8" t="s">
        <v>19</v>
      </c>
      <c r="N137" s="2">
        <f>I137-G137</f>
        <v>753.7</v>
      </c>
      <c r="O137" s="2">
        <f>N137/F137</f>
        <v>0.209024349658883</v>
      </c>
      <c r="P137">
        <f t="shared" si="2"/>
        <v>-304.8</v>
      </c>
      <c r="Q137" t="s">
        <v>452</v>
      </c>
    </row>
    <row r="138" ht="38.4" customHeight="1" spans="1:17">
      <c r="A138" s="7" t="s">
        <v>453</v>
      </c>
      <c r="B138" s="12" t="s">
        <v>454</v>
      </c>
      <c r="C138" s="12" t="s">
        <v>455</v>
      </c>
      <c r="D138" s="7" t="s">
        <v>126</v>
      </c>
      <c r="E138" s="13" t="s">
        <v>20</v>
      </c>
      <c r="F138" s="7" t="s">
        <v>456</v>
      </c>
      <c r="G138" s="8">
        <v>3852</v>
      </c>
      <c r="H138" s="8">
        <v>4993.65</v>
      </c>
      <c r="I138" s="8">
        <v>4519.4</v>
      </c>
      <c r="J138" s="8">
        <v>5152.6</v>
      </c>
      <c r="K138" s="8">
        <v>5715.8</v>
      </c>
      <c r="L138" s="8"/>
      <c r="M138" s="8" t="s">
        <v>19</v>
      </c>
      <c r="N138" s="2">
        <f>I138-G138</f>
        <v>667.4</v>
      </c>
      <c r="O138" s="2">
        <f>N138/F138</f>
        <v>0.173260643821391</v>
      </c>
      <c r="P138">
        <f t="shared" si="2"/>
        <v>-1141.65</v>
      </c>
      <c r="Q138" t="s">
        <v>452</v>
      </c>
    </row>
    <row r="139" ht="38.4" customHeight="1" spans="1:17">
      <c r="A139" s="7" t="s">
        <v>457</v>
      </c>
      <c r="B139" s="12" t="s">
        <v>458</v>
      </c>
      <c r="C139" s="12" t="s">
        <v>459</v>
      </c>
      <c r="D139" s="7" t="s">
        <v>126</v>
      </c>
      <c r="E139" s="13" t="s">
        <v>15</v>
      </c>
      <c r="F139" s="7" t="s">
        <v>460</v>
      </c>
      <c r="G139" s="8">
        <v>4125</v>
      </c>
      <c r="H139" s="8">
        <v>0</v>
      </c>
      <c r="I139" s="8">
        <v>5541.7</v>
      </c>
      <c r="J139" s="8">
        <v>5973.2</v>
      </c>
      <c r="K139" s="8">
        <v>6425.7</v>
      </c>
      <c r="L139" s="8"/>
      <c r="M139" s="8" t="s">
        <v>19</v>
      </c>
      <c r="N139" s="2">
        <f>I139-G139</f>
        <v>1416.7</v>
      </c>
      <c r="O139" s="2">
        <f>N139/F139</f>
        <v>0.343442424242424</v>
      </c>
      <c r="P139">
        <f t="shared" si="2"/>
        <v>4125</v>
      </c>
      <c r="Q139" t="s">
        <v>452</v>
      </c>
    </row>
    <row r="140" ht="38.4" customHeight="1" spans="1:17">
      <c r="A140" s="7" t="s">
        <v>461</v>
      </c>
      <c r="B140" s="12" t="s">
        <v>462</v>
      </c>
      <c r="C140" s="12" t="s">
        <v>463</v>
      </c>
      <c r="D140" s="7" t="s">
        <v>126</v>
      </c>
      <c r="E140" s="13" t="s">
        <v>25</v>
      </c>
      <c r="F140" s="7" t="s">
        <v>464</v>
      </c>
      <c r="G140" s="8">
        <v>4914</v>
      </c>
      <c r="H140" s="8">
        <v>12672</v>
      </c>
      <c r="I140" s="8">
        <v>8971.3</v>
      </c>
      <c r="J140" s="8">
        <v>9416.3</v>
      </c>
      <c r="K140" s="8">
        <v>9728.4</v>
      </c>
      <c r="L140" s="8"/>
      <c r="M140" s="8" t="s">
        <v>19</v>
      </c>
      <c r="N140" s="2">
        <f>I140-G140</f>
        <v>4057.3</v>
      </c>
      <c r="O140" s="2">
        <f>N140/F140</f>
        <v>0.825661375661376</v>
      </c>
      <c r="P140">
        <f t="shared" si="2"/>
        <v>-7758</v>
      </c>
    </row>
    <row r="141" ht="26.4" customHeight="1" spans="1:17">
      <c r="A141" s="7" t="s">
        <v>465</v>
      </c>
      <c r="B141" s="12" t="s">
        <v>466</v>
      </c>
      <c r="C141" s="12" t="s">
        <v>467</v>
      </c>
      <c r="D141" s="7" t="s">
        <v>126</v>
      </c>
      <c r="E141" s="13" t="s">
        <v>32</v>
      </c>
      <c r="F141" s="7" t="s">
        <v>468</v>
      </c>
      <c r="G141" s="8">
        <v>280</v>
      </c>
      <c r="H141" s="8">
        <v>128.14</v>
      </c>
      <c r="I141" s="8">
        <v>335.4</v>
      </c>
      <c r="J141" s="8">
        <v>378.5</v>
      </c>
      <c r="K141" s="8">
        <v>389.7</v>
      </c>
      <c r="L141" s="8"/>
      <c r="M141" s="8" t="s">
        <v>19</v>
      </c>
      <c r="P141">
        <f t="shared" si="2"/>
        <v>151.86</v>
      </c>
    </row>
    <row r="142" ht="26.4" customHeight="1" spans="1:17">
      <c r="A142" s="7" t="s">
        <v>469</v>
      </c>
      <c r="B142" s="12" t="s">
        <v>470</v>
      </c>
      <c r="C142" s="12" t="s">
        <v>471</v>
      </c>
      <c r="D142" s="7" t="s">
        <v>126</v>
      </c>
      <c r="E142" s="13" t="s">
        <v>39</v>
      </c>
      <c r="F142" s="7" t="s">
        <v>468</v>
      </c>
      <c r="G142" s="8">
        <v>280</v>
      </c>
      <c r="H142" s="8">
        <v>128.14</v>
      </c>
      <c r="I142" s="8">
        <v>389.8</v>
      </c>
      <c r="J142" s="8">
        <v>431.5</v>
      </c>
      <c r="K142" s="8">
        <v>452.3</v>
      </c>
      <c r="L142" s="8"/>
      <c r="M142" s="8" t="s">
        <v>19</v>
      </c>
      <c r="P142">
        <f t="shared" si="2"/>
        <v>151.86</v>
      </c>
    </row>
    <row r="143" ht="26.4" customHeight="1" spans="1:17">
      <c r="A143" s="7" t="s">
        <v>472</v>
      </c>
      <c r="B143" s="12" t="s">
        <v>473</v>
      </c>
      <c r="C143" s="12" t="s">
        <v>467</v>
      </c>
      <c r="D143" s="7" t="s">
        <v>126</v>
      </c>
      <c r="E143" s="13" t="s">
        <v>29</v>
      </c>
      <c r="F143" s="7" t="s">
        <v>468</v>
      </c>
      <c r="G143" s="8">
        <v>280</v>
      </c>
      <c r="H143" s="8">
        <v>128.14</v>
      </c>
      <c r="I143" s="8">
        <v>389.8</v>
      </c>
      <c r="J143" s="8">
        <v>431.5</v>
      </c>
      <c r="K143" s="8">
        <v>452.3</v>
      </c>
      <c r="L143" s="8"/>
      <c r="M143" s="8" t="s">
        <v>19</v>
      </c>
      <c r="P143">
        <f t="shared" si="2"/>
        <v>151.86</v>
      </c>
    </row>
    <row r="144" ht="26.4" customHeight="1" spans="1:17">
      <c r="A144" s="7" t="s">
        <v>474</v>
      </c>
      <c r="B144" s="12" t="s">
        <v>475</v>
      </c>
      <c r="C144" s="12" t="s">
        <v>471</v>
      </c>
      <c r="D144" s="7" t="s">
        <v>126</v>
      </c>
      <c r="E144" s="13" t="s">
        <v>15</v>
      </c>
      <c r="F144" s="7" t="s">
        <v>476</v>
      </c>
      <c r="G144" s="8">
        <v>320</v>
      </c>
      <c r="H144" s="8">
        <v>347.37</v>
      </c>
      <c r="I144" s="8">
        <v>435.2</v>
      </c>
      <c r="J144" s="8">
        <v>479.5</v>
      </c>
      <c r="K144" s="8">
        <v>483.6</v>
      </c>
      <c r="L144" s="8"/>
      <c r="M144" s="8" t="s">
        <v>19</v>
      </c>
      <c r="P144">
        <f t="shared" si="2"/>
        <v>-27.37</v>
      </c>
    </row>
    <row r="145" ht="26.4" customHeight="1" spans="1:17">
      <c r="A145" s="7" t="s">
        <v>477</v>
      </c>
      <c r="B145" s="12" t="s">
        <v>475</v>
      </c>
      <c r="C145" s="12" t="s">
        <v>467</v>
      </c>
      <c r="D145" s="7" t="s">
        <v>126</v>
      </c>
      <c r="E145" s="13" t="s">
        <v>229</v>
      </c>
      <c r="F145" s="7" t="s">
        <v>476</v>
      </c>
      <c r="G145" s="8">
        <v>320</v>
      </c>
      <c r="H145" s="8">
        <v>347.37</v>
      </c>
      <c r="I145" s="8">
        <v>435.2</v>
      </c>
      <c r="J145" s="8">
        <v>479.5</v>
      </c>
      <c r="K145" s="8">
        <v>483.6</v>
      </c>
      <c r="L145" s="8"/>
      <c r="M145" s="8" t="s">
        <v>19</v>
      </c>
      <c r="P145">
        <f t="shared" si="2"/>
        <v>-27.37</v>
      </c>
      <c r="Q145" t="s">
        <v>478</v>
      </c>
    </row>
    <row r="146" ht="17.4" customHeight="1" spans="1:17">
      <c r="A146" s="7" t="s">
        <v>479</v>
      </c>
      <c r="B146" s="17" t="s">
        <v>480</v>
      </c>
      <c r="C146" s="12" t="s">
        <v>109</v>
      </c>
      <c r="D146" s="7" t="s">
        <v>361</v>
      </c>
      <c r="E146" s="13" t="s">
        <v>481</v>
      </c>
      <c r="F146" s="7" t="s">
        <v>482</v>
      </c>
      <c r="G146" s="8">
        <v>3.6</v>
      </c>
      <c r="H146" s="8">
        <v>0</v>
      </c>
      <c r="I146" s="8"/>
      <c r="J146" s="8"/>
      <c r="K146" s="8"/>
      <c r="L146" s="8"/>
      <c r="M146" s="18" t="s">
        <v>19</v>
      </c>
      <c r="N146" s="19"/>
      <c r="O146" s="19"/>
      <c r="P146">
        <f t="shared" si="2"/>
        <v>3.6</v>
      </c>
    </row>
    <row r="147" ht="17.4" customHeight="1" spans="1:17">
      <c r="A147" s="7" t="s">
        <v>483</v>
      </c>
      <c r="B147" s="12" t="s">
        <v>484</v>
      </c>
      <c r="C147" s="12" t="s">
        <v>419</v>
      </c>
      <c r="D147" s="7" t="s">
        <v>361</v>
      </c>
      <c r="E147" s="13" t="s">
        <v>485</v>
      </c>
      <c r="F147" s="7" t="s">
        <v>486</v>
      </c>
      <c r="G147" s="8">
        <v>4.15</v>
      </c>
      <c r="H147" s="8">
        <v>4.15</v>
      </c>
      <c r="I147" s="8">
        <v>5.63</v>
      </c>
      <c r="J147" s="8">
        <v>5.87</v>
      </c>
      <c r="K147" s="8">
        <v>5.93</v>
      </c>
      <c r="L147" s="8"/>
      <c r="M147" s="8" t="s">
        <v>19</v>
      </c>
      <c r="P147">
        <f t="shared" si="2"/>
        <v>0</v>
      </c>
    </row>
    <row r="148" ht="17.4" customHeight="1" spans="1:17">
      <c r="A148" s="7" t="s">
        <v>487</v>
      </c>
      <c r="B148" s="12" t="s">
        <v>488</v>
      </c>
      <c r="C148" s="12" t="s">
        <v>109</v>
      </c>
      <c r="D148" s="7" t="s">
        <v>18</v>
      </c>
      <c r="E148" s="13" t="s">
        <v>39</v>
      </c>
      <c r="F148" s="7" t="s">
        <v>489</v>
      </c>
      <c r="G148" s="8">
        <v>51.98</v>
      </c>
      <c r="H148" s="8">
        <v>501.76</v>
      </c>
      <c r="I148" s="8">
        <v>53.57</v>
      </c>
      <c r="J148" s="8">
        <v>65.91</v>
      </c>
      <c r="K148" s="8">
        <v>65.74</v>
      </c>
      <c r="L148" s="8"/>
      <c r="M148" s="8" t="s">
        <v>19</v>
      </c>
      <c r="P148">
        <f t="shared" si="2"/>
        <v>-449.78</v>
      </c>
    </row>
    <row r="149" ht="17.4" customHeight="1" spans="1:17">
      <c r="A149" s="7" t="s">
        <v>490</v>
      </c>
      <c r="B149" s="12" t="s">
        <v>491</v>
      </c>
      <c r="C149" s="12" t="s">
        <v>109</v>
      </c>
      <c r="D149" s="7" t="s">
        <v>361</v>
      </c>
      <c r="E149" s="13" t="s">
        <v>492</v>
      </c>
      <c r="F149" s="7" t="s">
        <v>493</v>
      </c>
      <c r="G149" s="8">
        <v>3.4</v>
      </c>
      <c r="H149" s="8">
        <v>0</v>
      </c>
      <c r="I149" s="8"/>
      <c r="J149" s="8"/>
      <c r="K149" s="8"/>
      <c r="L149" s="8"/>
      <c r="M149" s="8">
        <v>3.35</v>
      </c>
      <c r="P149">
        <f t="shared" si="2"/>
        <v>3.4</v>
      </c>
    </row>
    <row r="150" ht="17.4" customHeight="1" spans="1:17">
      <c r="A150" s="7" t="s">
        <v>494</v>
      </c>
      <c r="B150" s="12" t="s">
        <v>495</v>
      </c>
      <c r="C150" s="12" t="s">
        <v>152</v>
      </c>
      <c r="D150" s="7" t="s">
        <v>18</v>
      </c>
      <c r="E150" s="13" t="s">
        <v>92</v>
      </c>
      <c r="F150" s="7" t="s">
        <v>496</v>
      </c>
      <c r="G150" s="8">
        <v>438.46</v>
      </c>
      <c r="H150" s="8">
        <v>97.26</v>
      </c>
      <c r="I150" s="8">
        <v>546.22</v>
      </c>
      <c r="J150" s="8">
        <v>587.58</v>
      </c>
      <c r="K150" s="8">
        <v>558.04</v>
      </c>
      <c r="L150" s="8"/>
      <c r="M150" s="8" t="s">
        <v>19</v>
      </c>
      <c r="P150">
        <f t="shared" si="2"/>
        <v>341.2</v>
      </c>
    </row>
    <row r="151" ht="17.4" customHeight="1" spans="1:17">
      <c r="A151" s="7" t="s">
        <v>497</v>
      </c>
      <c r="B151" s="12" t="s">
        <v>495</v>
      </c>
      <c r="C151" s="12" t="s">
        <v>162</v>
      </c>
      <c r="D151" s="7" t="s">
        <v>18</v>
      </c>
      <c r="E151" s="13" t="s">
        <v>20</v>
      </c>
      <c r="F151" s="7" t="s">
        <v>498</v>
      </c>
      <c r="G151" s="8">
        <v>600</v>
      </c>
      <c r="H151" s="8">
        <v>0</v>
      </c>
      <c r="I151" s="8">
        <v>791.7</v>
      </c>
      <c r="J151" s="8">
        <v>844.31</v>
      </c>
      <c r="K151" s="8">
        <v>855</v>
      </c>
      <c r="L151" s="8"/>
      <c r="M151" s="8" t="s">
        <v>19</v>
      </c>
      <c r="P151">
        <f t="shared" si="2"/>
        <v>600</v>
      </c>
    </row>
    <row r="152" ht="17.4" customHeight="1" spans="1:17">
      <c r="A152" s="7" t="s">
        <v>499</v>
      </c>
      <c r="B152" s="12" t="s">
        <v>495</v>
      </c>
      <c r="C152" s="12" t="s">
        <v>341</v>
      </c>
      <c r="D152" s="7" t="s">
        <v>18</v>
      </c>
      <c r="E152" s="13" t="s">
        <v>27</v>
      </c>
      <c r="F152" s="7" t="s">
        <v>500</v>
      </c>
      <c r="G152" s="8">
        <v>44.25</v>
      </c>
      <c r="H152" s="8">
        <v>39.83</v>
      </c>
      <c r="I152" s="8">
        <v>93.28</v>
      </c>
      <c r="J152" s="8">
        <v>100.24</v>
      </c>
      <c r="K152" s="8">
        <v>100.52</v>
      </c>
      <c r="L152" s="8"/>
      <c r="M152" s="8">
        <v>44.25</v>
      </c>
      <c r="P152">
        <f t="shared" si="2"/>
        <v>4.42</v>
      </c>
    </row>
    <row r="153" ht="17.4" customHeight="1" spans="1:17">
      <c r="A153" s="7" t="s">
        <v>501</v>
      </c>
      <c r="B153" s="12" t="s">
        <v>502</v>
      </c>
      <c r="C153" s="12" t="s">
        <v>152</v>
      </c>
      <c r="D153" s="7" t="s">
        <v>18</v>
      </c>
      <c r="E153" s="13" t="s">
        <v>39</v>
      </c>
      <c r="F153" s="7" t="s">
        <v>503</v>
      </c>
      <c r="G153" s="8">
        <v>1000</v>
      </c>
      <c r="H153" s="8">
        <v>2161.4</v>
      </c>
      <c r="I153" s="8">
        <v>589.17</v>
      </c>
      <c r="J153" s="8">
        <v>626.09</v>
      </c>
      <c r="K153" s="8">
        <v>602.41</v>
      </c>
      <c r="L153" s="8"/>
      <c r="M153" s="8" t="s">
        <v>19</v>
      </c>
      <c r="P153">
        <f t="shared" si="2"/>
        <v>-1161.4</v>
      </c>
    </row>
    <row r="154" ht="17.4" customHeight="1" spans="1:17">
      <c r="A154" s="7" t="s">
        <v>504</v>
      </c>
      <c r="B154" s="17" t="s">
        <v>505</v>
      </c>
      <c r="C154" s="12" t="s">
        <v>419</v>
      </c>
      <c r="D154" s="7" t="s">
        <v>115</v>
      </c>
      <c r="E154" s="13" t="s">
        <v>506</v>
      </c>
      <c r="F154" s="7" t="s">
        <v>367</v>
      </c>
      <c r="G154" s="8">
        <v>1752.21</v>
      </c>
      <c r="H154" s="8">
        <v>0</v>
      </c>
      <c r="I154" s="8"/>
      <c r="J154" s="8"/>
      <c r="K154" s="8"/>
      <c r="L154" s="8"/>
      <c r="M154" s="8" t="s">
        <v>19</v>
      </c>
      <c r="P154">
        <f t="shared" si="2"/>
        <v>1752.21</v>
      </c>
    </row>
    <row r="155" ht="26.4" customHeight="1" spans="1:17">
      <c r="A155" s="7" t="s">
        <v>507</v>
      </c>
      <c r="B155" s="12" t="s">
        <v>508</v>
      </c>
      <c r="C155" s="12" t="s">
        <v>509</v>
      </c>
      <c r="D155" s="7" t="s">
        <v>18</v>
      </c>
      <c r="E155" s="13" t="s">
        <v>233</v>
      </c>
      <c r="F155" s="7" t="s">
        <v>38</v>
      </c>
      <c r="G155" s="8">
        <v>180</v>
      </c>
      <c r="H155" s="8">
        <v>0</v>
      </c>
      <c r="I155" s="8">
        <v>185.54</v>
      </c>
      <c r="J155" s="8">
        <v>204.23</v>
      </c>
      <c r="K155" s="8">
        <v>215.6</v>
      </c>
      <c r="L155" s="8"/>
      <c r="M155" s="8" t="s">
        <v>19</v>
      </c>
      <c r="P155">
        <f t="shared" si="2"/>
        <v>180</v>
      </c>
    </row>
    <row r="156" ht="26.4" customHeight="1" spans="1:17">
      <c r="A156" s="7" t="s">
        <v>510</v>
      </c>
      <c r="B156" s="12" t="s">
        <v>508</v>
      </c>
      <c r="C156" s="12" t="s">
        <v>511</v>
      </c>
      <c r="D156" s="7" t="s">
        <v>18</v>
      </c>
      <c r="E156" s="13" t="s">
        <v>31</v>
      </c>
      <c r="F156" s="7" t="s">
        <v>28</v>
      </c>
      <c r="G156" s="8">
        <v>145</v>
      </c>
      <c r="H156" s="8">
        <v>0</v>
      </c>
      <c r="I156" s="8">
        <v>149.46</v>
      </c>
      <c r="J156" s="8">
        <v>177.96</v>
      </c>
      <c r="K156" s="8">
        <v>185.3</v>
      </c>
      <c r="L156" s="8"/>
      <c r="M156" s="8" t="s">
        <v>19</v>
      </c>
      <c r="P156">
        <f t="shared" si="2"/>
        <v>145</v>
      </c>
    </row>
    <row r="157" ht="26.4" customHeight="1" spans="1:17">
      <c r="A157" s="7" t="s">
        <v>512</v>
      </c>
      <c r="B157" s="12" t="s">
        <v>508</v>
      </c>
      <c r="C157" s="12" t="s">
        <v>513</v>
      </c>
      <c r="D157" s="7" t="s">
        <v>18</v>
      </c>
      <c r="E157" s="13" t="s">
        <v>27</v>
      </c>
      <c r="F157" s="7" t="s">
        <v>514</v>
      </c>
      <c r="G157" s="8">
        <v>166</v>
      </c>
      <c r="H157" s="8">
        <v>0</v>
      </c>
      <c r="I157" s="8">
        <v>224.3</v>
      </c>
      <c r="J157" s="8">
        <v>243.5</v>
      </c>
      <c r="K157" s="8">
        <v>265.3</v>
      </c>
      <c r="L157" s="8"/>
      <c r="M157" s="8" t="s">
        <v>19</v>
      </c>
      <c r="P157">
        <f t="shared" si="2"/>
        <v>166</v>
      </c>
    </row>
    <row r="158" ht="26.4" customHeight="1" spans="1:17">
      <c r="A158" s="7" t="s">
        <v>515</v>
      </c>
      <c r="B158" s="12" t="s">
        <v>508</v>
      </c>
      <c r="C158" s="12" t="s">
        <v>516</v>
      </c>
      <c r="D158" s="7" t="s">
        <v>18</v>
      </c>
      <c r="E158" s="13" t="s">
        <v>46</v>
      </c>
      <c r="F158" s="7" t="s">
        <v>517</v>
      </c>
      <c r="G158" s="8">
        <v>182</v>
      </c>
      <c r="H158" s="8">
        <v>0</v>
      </c>
      <c r="I158" s="8">
        <v>245.5</v>
      </c>
      <c r="J158" s="8">
        <v>275.8</v>
      </c>
      <c r="K158" s="8">
        <v>289.35</v>
      </c>
      <c r="L158" s="8"/>
      <c r="M158" s="8" t="s">
        <v>19</v>
      </c>
      <c r="P158">
        <f t="shared" si="2"/>
        <v>182</v>
      </c>
    </row>
    <row r="159" ht="50.4" customHeight="1" spans="1:17">
      <c r="A159" s="7" t="s">
        <v>518</v>
      </c>
      <c r="B159" s="12" t="s">
        <v>519</v>
      </c>
      <c r="C159" s="12" t="s">
        <v>520</v>
      </c>
      <c r="D159" s="7" t="s">
        <v>126</v>
      </c>
      <c r="E159" s="13" t="s">
        <v>20</v>
      </c>
      <c r="F159" s="7" t="s">
        <v>521</v>
      </c>
      <c r="G159" s="8">
        <v>5260</v>
      </c>
      <c r="H159" s="8">
        <v>6159.6</v>
      </c>
      <c r="I159" s="8">
        <v>6500</v>
      </c>
      <c r="J159" s="8">
        <v>7200</v>
      </c>
      <c r="K159" s="8">
        <v>7855</v>
      </c>
      <c r="L159" s="8"/>
      <c r="M159" s="8" t="s">
        <v>19</v>
      </c>
      <c r="P159">
        <f t="shared" si="2"/>
        <v>-899.6</v>
      </c>
      <c r="Q159" s="12" t="s">
        <v>522</v>
      </c>
    </row>
    <row r="160" ht="26.4" customHeight="1" spans="1:17">
      <c r="A160" s="7" t="s">
        <v>523</v>
      </c>
      <c r="B160" s="12" t="s">
        <v>524</v>
      </c>
      <c r="C160" s="12" t="s">
        <v>525</v>
      </c>
      <c r="D160" s="7" t="s">
        <v>126</v>
      </c>
      <c r="E160" s="13" t="s">
        <v>15</v>
      </c>
      <c r="F160" s="7" t="s">
        <v>526</v>
      </c>
      <c r="G160" s="8">
        <v>7200</v>
      </c>
      <c r="H160" s="8">
        <v>23729.1</v>
      </c>
      <c r="I160" s="8">
        <v>8514.6</v>
      </c>
      <c r="J160" s="8">
        <v>10593.5</v>
      </c>
      <c r="K160" s="8">
        <v>12194.6</v>
      </c>
      <c r="L160" s="8"/>
      <c r="M160" s="8" t="s">
        <v>19</v>
      </c>
      <c r="N160" s="2">
        <f>I160-G160</f>
        <v>1314.6</v>
      </c>
      <c r="O160" s="2">
        <f>N160/F160</f>
        <v>0.182583333333333</v>
      </c>
      <c r="P160">
        <f t="shared" si="2"/>
        <v>-16529.1</v>
      </c>
    </row>
    <row r="161" ht="26.4" customHeight="1" spans="1:16">
      <c r="A161" s="7" t="s">
        <v>527</v>
      </c>
      <c r="B161" s="12" t="s">
        <v>528</v>
      </c>
      <c r="C161" s="12" t="s">
        <v>463</v>
      </c>
      <c r="D161" s="7" t="s">
        <v>126</v>
      </c>
      <c r="E161" s="13" t="s">
        <v>15</v>
      </c>
      <c r="F161" s="7" t="s">
        <v>529</v>
      </c>
      <c r="G161" s="8">
        <v>8500</v>
      </c>
      <c r="H161" s="8">
        <v>25110.88</v>
      </c>
      <c r="I161" s="8">
        <v>8974.6</v>
      </c>
      <c r="J161" s="8">
        <v>9798.3</v>
      </c>
      <c r="K161" s="8">
        <v>11792.5</v>
      </c>
      <c r="L161" s="8"/>
      <c r="M161" s="8" t="s">
        <v>19</v>
      </c>
      <c r="N161" s="2">
        <f>I161-G161</f>
        <v>474.6</v>
      </c>
      <c r="O161" s="2">
        <f>N161/F161</f>
        <v>0.0558352941176471</v>
      </c>
      <c r="P161">
        <f t="shared" si="2"/>
        <v>-16610.88</v>
      </c>
    </row>
    <row r="162" ht="17.4" customHeight="1" spans="1:16">
      <c r="A162" s="7" t="s">
        <v>530</v>
      </c>
      <c r="B162" s="12" t="s">
        <v>531</v>
      </c>
      <c r="C162" s="12" t="s">
        <v>532</v>
      </c>
      <c r="D162" s="7" t="s">
        <v>115</v>
      </c>
      <c r="E162" s="13" t="s">
        <v>533</v>
      </c>
      <c r="F162" s="7" t="s">
        <v>444</v>
      </c>
      <c r="G162" s="8">
        <v>120</v>
      </c>
      <c r="H162" s="8">
        <v>0</v>
      </c>
      <c r="I162" s="8"/>
      <c r="J162" s="8"/>
      <c r="K162" s="8"/>
      <c r="L162" s="8"/>
      <c r="M162" s="18">
        <v>120</v>
      </c>
      <c r="N162" s="19"/>
      <c r="O162" s="19"/>
      <c r="P162">
        <f t="shared" si="2"/>
        <v>120</v>
      </c>
    </row>
    <row r="163" ht="26.4" customHeight="1" spans="1:16">
      <c r="A163" s="7" t="s">
        <v>534</v>
      </c>
      <c r="B163" s="12" t="s">
        <v>535</v>
      </c>
      <c r="C163" s="12" t="s">
        <v>54</v>
      </c>
      <c r="D163" s="7" t="s">
        <v>55</v>
      </c>
      <c r="E163" s="13" t="s">
        <v>48</v>
      </c>
      <c r="F163" s="7" t="s">
        <v>536</v>
      </c>
      <c r="G163" s="8">
        <v>196.1</v>
      </c>
      <c r="H163" s="8">
        <v>0</v>
      </c>
      <c r="I163" s="8">
        <v>244.08</v>
      </c>
      <c r="J163" s="8">
        <v>258.18</v>
      </c>
      <c r="K163" s="8">
        <v>256.96</v>
      </c>
      <c r="L163" s="8"/>
      <c r="M163" s="8" t="s">
        <v>19</v>
      </c>
      <c r="P163">
        <f t="shared" si="2"/>
        <v>196.1</v>
      </c>
    </row>
    <row r="164" ht="17.4" customHeight="1" spans="1:16">
      <c r="A164" s="7" t="s">
        <v>537</v>
      </c>
      <c r="B164" s="12" t="s">
        <v>538</v>
      </c>
      <c r="C164" s="12" t="s">
        <v>539</v>
      </c>
      <c r="D164" s="7" t="s">
        <v>18</v>
      </c>
      <c r="E164" s="13" t="s">
        <v>156</v>
      </c>
      <c r="F164" s="7" t="s">
        <v>540</v>
      </c>
      <c r="G164" s="8">
        <v>44.6</v>
      </c>
      <c r="H164" s="8">
        <v>0</v>
      </c>
      <c r="I164" s="8">
        <v>126</v>
      </c>
      <c r="J164" s="8">
        <v>138.41</v>
      </c>
      <c r="K164" s="8">
        <v>140.15</v>
      </c>
      <c r="L164" s="8"/>
      <c r="M164" s="8" t="s">
        <v>19</v>
      </c>
      <c r="P164">
        <f t="shared" si="2"/>
        <v>44.6</v>
      </c>
    </row>
    <row r="165" ht="17.4" customHeight="1" spans="1:16">
      <c r="A165" s="7" t="s">
        <v>541</v>
      </c>
      <c r="B165" s="12" t="s">
        <v>542</v>
      </c>
      <c r="C165" s="12" t="s">
        <v>109</v>
      </c>
      <c r="D165" s="7" t="s">
        <v>18</v>
      </c>
      <c r="E165" s="13" t="s">
        <v>83</v>
      </c>
      <c r="F165" s="7" t="s">
        <v>543</v>
      </c>
      <c r="G165" s="8">
        <v>16</v>
      </c>
      <c r="H165" s="8">
        <v>0</v>
      </c>
      <c r="I165" s="8">
        <v>54</v>
      </c>
      <c r="J165" s="8">
        <v>61.42</v>
      </c>
      <c r="K165" s="8">
        <v>60.82</v>
      </c>
      <c r="L165" s="8"/>
      <c r="M165" s="8" t="s">
        <v>19</v>
      </c>
      <c r="P165">
        <f t="shared" si="2"/>
        <v>16</v>
      </c>
    </row>
    <row r="166" ht="50.4" customHeight="1" spans="1:16">
      <c r="A166" s="7" t="s">
        <v>544</v>
      </c>
      <c r="B166" s="16" t="s">
        <v>545</v>
      </c>
      <c r="C166" s="12" t="s">
        <v>546</v>
      </c>
      <c r="D166" s="7" t="s">
        <v>126</v>
      </c>
      <c r="E166" s="13" t="s">
        <v>32</v>
      </c>
      <c r="F166" s="7" t="s">
        <v>547</v>
      </c>
      <c r="G166" s="8">
        <v>95200</v>
      </c>
      <c r="H166" s="8">
        <v>0</v>
      </c>
      <c r="I166" s="8">
        <v>95200</v>
      </c>
      <c r="J166" s="8">
        <v>98500</v>
      </c>
      <c r="K166" s="8">
        <v>99870</v>
      </c>
      <c r="L166" s="8"/>
      <c r="M166" s="8" t="s">
        <v>19</v>
      </c>
      <c r="P166">
        <f t="shared" si="2"/>
        <v>95200</v>
      </c>
    </row>
    <row r="167" ht="17.4" customHeight="1" spans="1:16">
      <c r="A167" s="7" t="s">
        <v>548</v>
      </c>
      <c r="B167" s="12" t="s">
        <v>549</v>
      </c>
      <c r="C167" s="12" t="s">
        <v>550</v>
      </c>
      <c r="D167" s="7" t="s">
        <v>18</v>
      </c>
      <c r="E167" s="13" t="s">
        <v>15</v>
      </c>
      <c r="F167" s="7" t="s">
        <v>551</v>
      </c>
      <c r="G167" s="8">
        <v>5277.78</v>
      </c>
      <c r="H167" s="8">
        <v>2508.78</v>
      </c>
      <c r="I167" s="8">
        <v>5277.78</v>
      </c>
      <c r="J167" s="8">
        <v>5377.78</v>
      </c>
      <c r="K167" s="8">
        <v>5457.78</v>
      </c>
      <c r="L167" s="8"/>
      <c r="M167" s="8" t="s">
        <v>19</v>
      </c>
      <c r="P167">
        <f t="shared" si="2"/>
        <v>2769</v>
      </c>
    </row>
    <row r="168" ht="17.4" customHeight="1" spans="1:16">
      <c r="A168" s="7" t="s">
        <v>552</v>
      </c>
      <c r="B168" s="12" t="s">
        <v>553</v>
      </c>
      <c r="C168" s="12" t="s">
        <v>109</v>
      </c>
      <c r="D168" s="7" t="s">
        <v>115</v>
      </c>
      <c r="E168" s="13" t="s">
        <v>554</v>
      </c>
      <c r="F168" s="7" t="s">
        <v>555</v>
      </c>
      <c r="G168" s="8">
        <v>10</v>
      </c>
      <c r="H168" s="8">
        <v>0</v>
      </c>
      <c r="I168" s="8">
        <v>13.56</v>
      </c>
      <c r="J168" s="8">
        <v>14.21</v>
      </c>
      <c r="K168" s="8">
        <v>14.29</v>
      </c>
      <c r="L168" s="8"/>
      <c r="M168" s="8" t="s">
        <v>19</v>
      </c>
      <c r="P168">
        <f t="shared" si="2"/>
        <v>10</v>
      </c>
    </row>
    <row r="169" ht="17.4" customHeight="1" spans="1:16">
      <c r="A169" s="7" t="s">
        <v>556</v>
      </c>
      <c r="B169" s="12" t="s">
        <v>557</v>
      </c>
      <c r="C169" s="12" t="s">
        <v>109</v>
      </c>
      <c r="D169" s="7" t="s">
        <v>558</v>
      </c>
      <c r="E169" s="13" t="s">
        <v>559</v>
      </c>
      <c r="F169" s="7" t="s">
        <v>560</v>
      </c>
      <c r="G169" s="8">
        <v>1</v>
      </c>
      <c r="H169" s="8">
        <v>1</v>
      </c>
      <c r="I169" s="8">
        <v>1</v>
      </c>
      <c r="J169" s="8">
        <v>1</v>
      </c>
      <c r="K169" s="8">
        <v>1</v>
      </c>
      <c r="L169" s="8"/>
      <c r="M169" s="8" t="s">
        <v>19</v>
      </c>
      <c r="P169">
        <f t="shared" si="2"/>
        <v>0</v>
      </c>
    </row>
    <row r="170" ht="17.4" customHeight="1" spans="1:16">
      <c r="A170" s="7" t="s">
        <v>561</v>
      </c>
      <c r="B170" s="12" t="s">
        <v>562</v>
      </c>
      <c r="C170" s="12" t="s">
        <v>109</v>
      </c>
      <c r="D170" s="7" t="s">
        <v>214</v>
      </c>
      <c r="E170" s="13" t="s">
        <v>563</v>
      </c>
      <c r="F170" s="7" t="s">
        <v>564</v>
      </c>
      <c r="G170" s="8">
        <v>6.57</v>
      </c>
      <c r="H170" s="8">
        <v>6.55</v>
      </c>
      <c r="I170" s="8"/>
      <c r="J170" s="8"/>
      <c r="K170" s="8"/>
      <c r="L170" s="8"/>
      <c r="M170" s="8">
        <v>6.29</v>
      </c>
      <c r="P170">
        <f t="shared" si="2"/>
        <v>0.0200000000000005</v>
      </c>
    </row>
    <row r="171" ht="17.4" customHeight="1" spans="1:16">
      <c r="A171" s="7" t="s">
        <v>565</v>
      </c>
      <c r="B171" s="15" t="s">
        <v>566</v>
      </c>
      <c r="C171" s="12" t="s">
        <v>54</v>
      </c>
      <c r="D171" s="7" t="s">
        <v>55</v>
      </c>
      <c r="E171" s="13" t="s">
        <v>271</v>
      </c>
      <c r="F171" s="7" t="s">
        <v>567</v>
      </c>
      <c r="G171" s="8">
        <v>284</v>
      </c>
      <c r="H171" s="8">
        <v>0</v>
      </c>
      <c r="I171" s="8"/>
      <c r="J171" s="8"/>
      <c r="K171" s="8"/>
      <c r="L171" s="8"/>
      <c r="M171" s="8" t="s">
        <v>19</v>
      </c>
      <c r="P171">
        <f t="shared" si="2"/>
        <v>284</v>
      </c>
    </row>
    <row r="172" ht="17.4" customHeight="1" spans="1:16">
      <c r="A172" s="7" t="s">
        <v>568</v>
      </c>
      <c r="B172" s="15" t="s">
        <v>566</v>
      </c>
      <c r="C172" s="12" t="s">
        <v>569</v>
      </c>
      <c r="D172" s="7" t="s">
        <v>55</v>
      </c>
      <c r="E172" s="13" t="s">
        <v>15</v>
      </c>
      <c r="F172" s="7" t="s">
        <v>570</v>
      </c>
      <c r="G172" s="8">
        <v>324</v>
      </c>
      <c r="H172" s="8">
        <v>0</v>
      </c>
      <c r="I172" s="8"/>
      <c r="J172" s="8"/>
      <c r="K172" s="8"/>
      <c r="L172" s="8"/>
      <c r="M172" s="8" t="s">
        <v>19</v>
      </c>
      <c r="P172">
        <f t="shared" si="2"/>
        <v>324</v>
      </c>
    </row>
    <row r="173" ht="17.4" customHeight="1" spans="1:16">
      <c r="A173" s="7" t="s">
        <v>571</v>
      </c>
      <c r="B173" s="15" t="s">
        <v>572</v>
      </c>
      <c r="C173" s="12" t="s">
        <v>54</v>
      </c>
      <c r="D173" s="7" t="s">
        <v>55</v>
      </c>
      <c r="E173" s="13" t="s">
        <v>22</v>
      </c>
      <c r="F173" s="7" t="s">
        <v>567</v>
      </c>
      <c r="G173" s="8">
        <v>284</v>
      </c>
      <c r="H173" s="8">
        <v>405</v>
      </c>
      <c r="I173" s="8"/>
      <c r="J173" s="8"/>
      <c r="K173" s="8"/>
      <c r="L173" s="8"/>
      <c r="M173" s="8" t="s">
        <v>19</v>
      </c>
      <c r="P173">
        <f t="shared" si="2"/>
        <v>-121</v>
      </c>
    </row>
    <row r="174" ht="17.4" customHeight="1" spans="1:16">
      <c r="A174" s="7" t="s">
        <v>573</v>
      </c>
      <c r="B174" s="12" t="s">
        <v>574</v>
      </c>
      <c r="C174" s="12" t="s">
        <v>575</v>
      </c>
      <c r="D174" s="7" t="s">
        <v>18</v>
      </c>
      <c r="E174" s="13" t="s">
        <v>576</v>
      </c>
      <c r="F174" s="7" t="s">
        <v>577</v>
      </c>
      <c r="G174" s="8">
        <v>140.8</v>
      </c>
      <c r="H174" s="8">
        <v>0</v>
      </c>
      <c r="I174" s="8">
        <v>459.8</v>
      </c>
      <c r="J174" s="8">
        <v>551.3</v>
      </c>
      <c r="K174" s="8">
        <v>598.3</v>
      </c>
      <c r="L174" s="8"/>
      <c r="M174" s="8" t="s">
        <v>19</v>
      </c>
      <c r="P174">
        <f t="shared" si="2"/>
        <v>140.8</v>
      </c>
    </row>
    <row r="175" ht="17.4" customHeight="1" spans="1:16">
      <c r="A175" s="7" t="s">
        <v>578</v>
      </c>
      <c r="B175" s="12" t="s">
        <v>574</v>
      </c>
      <c r="C175" s="12" t="s">
        <v>579</v>
      </c>
      <c r="D175" s="7" t="s">
        <v>18</v>
      </c>
      <c r="E175" s="13" t="s">
        <v>46</v>
      </c>
      <c r="F175" s="7" t="s">
        <v>580</v>
      </c>
      <c r="G175" s="8">
        <v>160</v>
      </c>
      <c r="H175" s="8">
        <v>0</v>
      </c>
      <c r="I175" s="8">
        <v>657.5</v>
      </c>
      <c r="J175" s="8">
        <v>715.3</v>
      </c>
      <c r="K175" s="8">
        <v>851.6</v>
      </c>
      <c r="L175" s="8"/>
      <c r="M175" s="8" t="s">
        <v>19</v>
      </c>
      <c r="P175">
        <f t="shared" si="2"/>
        <v>160</v>
      </c>
    </row>
    <row r="176" ht="17.4" customHeight="1" spans="1:16">
      <c r="A176" s="7" t="s">
        <v>581</v>
      </c>
      <c r="B176" s="15" t="s">
        <v>582</v>
      </c>
      <c r="C176" s="12" t="s">
        <v>583</v>
      </c>
      <c r="D176" s="7" t="s">
        <v>153</v>
      </c>
      <c r="E176" s="13" t="s">
        <v>584</v>
      </c>
      <c r="F176" s="7" t="s">
        <v>585</v>
      </c>
      <c r="G176" s="8">
        <v>11</v>
      </c>
      <c r="H176" s="8">
        <v>12.17</v>
      </c>
      <c r="I176" s="8"/>
      <c r="J176" s="8"/>
      <c r="K176" s="8"/>
      <c r="L176" s="8"/>
      <c r="M176" s="8" t="s">
        <v>19</v>
      </c>
      <c r="P176">
        <f t="shared" si="2"/>
        <v>-1.17</v>
      </c>
    </row>
    <row r="177" ht="17.4" customHeight="1" spans="1:16">
      <c r="A177" s="7" t="s">
        <v>586</v>
      </c>
      <c r="B177" s="15" t="s">
        <v>582</v>
      </c>
      <c r="C177" s="12" t="s">
        <v>337</v>
      </c>
      <c r="D177" s="7" t="s">
        <v>153</v>
      </c>
      <c r="E177" s="13" t="s">
        <v>587</v>
      </c>
      <c r="F177" s="7" t="s">
        <v>588</v>
      </c>
      <c r="G177" s="8">
        <v>14.24</v>
      </c>
      <c r="H177" s="8">
        <v>16.93</v>
      </c>
      <c r="I177" s="8"/>
      <c r="J177" s="8"/>
      <c r="K177" s="8"/>
      <c r="L177" s="8"/>
      <c r="M177" s="8" t="s">
        <v>19</v>
      </c>
      <c r="P177">
        <f t="shared" si="2"/>
        <v>-2.69</v>
      </c>
    </row>
    <row r="178" ht="17.4" customHeight="1" spans="1:16">
      <c r="A178" s="7" t="s">
        <v>589</v>
      </c>
      <c r="B178" s="15" t="s">
        <v>590</v>
      </c>
      <c r="C178" s="12" t="s">
        <v>583</v>
      </c>
      <c r="D178" s="7" t="s">
        <v>18</v>
      </c>
      <c r="E178" s="13" t="s">
        <v>591</v>
      </c>
      <c r="F178" s="7" t="s">
        <v>592</v>
      </c>
      <c r="G178" s="8">
        <v>4.91</v>
      </c>
      <c r="H178" s="8">
        <v>2.57</v>
      </c>
      <c r="I178" s="8"/>
      <c r="J178" s="8"/>
      <c r="K178" s="8"/>
      <c r="L178" s="8"/>
      <c r="M178" s="8" t="s">
        <v>19</v>
      </c>
      <c r="P178">
        <f t="shared" si="2"/>
        <v>2.34</v>
      </c>
    </row>
    <row r="179" ht="17.4" customHeight="1" spans="1:16">
      <c r="A179" s="7" t="s">
        <v>593</v>
      </c>
      <c r="B179" s="15" t="s">
        <v>590</v>
      </c>
      <c r="C179" s="12" t="s">
        <v>337</v>
      </c>
      <c r="D179" s="7" t="s">
        <v>18</v>
      </c>
      <c r="E179" s="13" t="s">
        <v>594</v>
      </c>
      <c r="F179" s="7" t="s">
        <v>351</v>
      </c>
      <c r="G179" s="8">
        <v>5.48</v>
      </c>
      <c r="H179" s="8">
        <v>4.21</v>
      </c>
      <c r="I179" s="8"/>
      <c r="J179" s="8"/>
      <c r="K179" s="8"/>
      <c r="L179" s="8"/>
      <c r="M179" s="8" t="s">
        <v>19</v>
      </c>
      <c r="P179">
        <f t="shared" si="2"/>
        <v>1.27</v>
      </c>
    </row>
    <row r="180" ht="17.4" customHeight="1" spans="1:16">
      <c r="A180" s="7" t="s">
        <v>595</v>
      </c>
      <c r="B180" s="17" t="s">
        <v>596</v>
      </c>
      <c r="C180" s="12" t="s">
        <v>120</v>
      </c>
      <c r="D180" s="7" t="s">
        <v>115</v>
      </c>
      <c r="E180" s="13" t="s">
        <v>597</v>
      </c>
      <c r="F180" s="7" t="s">
        <v>122</v>
      </c>
      <c r="G180" s="8">
        <v>400</v>
      </c>
      <c r="H180" s="8">
        <v>0</v>
      </c>
      <c r="I180" s="8"/>
      <c r="J180" s="8"/>
      <c r="K180" s="8"/>
      <c r="L180" s="8"/>
      <c r="M180" s="8" t="s">
        <v>19</v>
      </c>
      <c r="P180">
        <f t="shared" si="2"/>
        <v>400</v>
      </c>
    </row>
    <row r="181" ht="17.4" customHeight="1" spans="1:16">
      <c r="A181" s="7" t="s">
        <v>598</v>
      </c>
      <c r="B181" s="12" t="s">
        <v>599</v>
      </c>
      <c r="C181" s="12" t="s">
        <v>600</v>
      </c>
      <c r="D181" s="7" t="s">
        <v>115</v>
      </c>
      <c r="E181" s="13" t="s">
        <v>601</v>
      </c>
      <c r="F181" s="7" t="s">
        <v>88</v>
      </c>
      <c r="G181" s="8">
        <v>340</v>
      </c>
      <c r="H181" s="8">
        <v>0</v>
      </c>
      <c r="I181" s="8"/>
      <c r="J181" s="8"/>
      <c r="K181" s="8"/>
      <c r="L181" s="8"/>
      <c r="M181" s="8">
        <v>330</v>
      </c>
      <c r="P181">
        <f t="shared" si="2"/>
        <v>340</v>
      </c>
    </row>
    <row r="182" ht="17.4" customHeight="1" spans="1:16">
      <c r="A182" s="7" t="s">
        <v>602</v>
      </c>
      <c r="B182" s="12" t="s">
        <v>599</v>
      </c>
      <c r="C182" s="12" t="s">
        <v>603</v>
      </c>
      <c r="D182" s="7" t="s">
        <v>115</v>
      </c>
      <c r="E182" s="13" t="s">
        <v>604</v>
      </c>
      <c r="F182" s="7" t="s">
        <v>605</v>
      </c>
      <c r="G182" s="8">
        <v>360</v>
      </c>
      <c r="H182" s="8">
        <v>0</v>
      </c>
      <c r="I182" s="8"/>
      <c r="J182" s="8"/>
      <c r="K182" s="8"/>
      <c r="L182" s="8"/>
      <c r="M182" s="8">
        <v>350</v>
      </c>
      <c r="P182">
        <f t="shared" si="2"/>
        <v>360</v>
      </c>
    </row>
    <row r="183" ht="17.4" customHeight="1" spans="1:16">
      <c r="A183" s="7" t="s">
        <v>606</v>
      </c>
      <c r="B183" s="12" t="s">
        <v>599</v>
      </c>
      <c r="C183" s="12" t="s">
        <v>607</v>
      </c>
      <c r="D183" s="7" t="s">
        <v>115</v>
      </c>
      <c r="E183" s="13" t="s">
        <v>608</v>
      </c>
      <c r="F183" s="7" t="s">
        <v>201</v>
      </c>
      <c r="G183" s="8">
        <v>370</v>
      </c>
      <c r="H183" s="8">
        <v>380</v>
      </c>
      <c r="I183" s="8"/>
      <c r="J183" s="8"/>
      <c r="K183" s="8"/>
      <c r="L183" s="8"/>
      <c r="M183" s="8">
        <v>360</v>
      </c>
      <c r="P183">
        <f t="shared" si="2"/>
        <v>-10</v>
      </c>
    </row>
    <row r="184" ht="17.4" customHeight="1" spans="1:16">
      <c r="A184" s="7" t="s">
        <v>609</v>
      </c>
      <c r="B184" s="12" t="s">
        <v>599</v>
      </c>
      <c r="C184" s="12" t="s">
        <v>119</v>
      </c>
      <c r="D184" s="7" t="s">
        <v>115</v>
      </c>
      <c r="E184" s="13" t="s">
        <v>610</v>
      </c>
      <c r="F184" s="7" t="s">
        <v>293</v>
      </c>
      <c r="G184" s="8">
        <v>380</v>
      </c>
      <c r="H184" s="8">
        <v>0</v>
      </c>
      <c r="I184" s="8"/>
      <c r="J184" s="8"/>
      <c r="K184" s="8"/>
      <c r="L184" s="8"/>
      <c r="M184" s="8">
        <v>370</v>
      </c>
      <c r="P184">
        <f t="shared" si="2"/>
        <v>380</v>
      </c>
    </row>
    <row r="185" ht="26.4" customHeight="1" spans="1:16">
      <c r="A185" s="7" t="s">
        <v>611</v>
      </c>
      <c r="B185" s="12" t="s">
        <v>612</v>
      </c>
      <c r="C185" s="12" t="s">
        <v>613</v>
      </c>
      <c r="D185" s="7" t="s">
        <v>126</v>
      </c>
      <c r="E185" s="13" t="s">
        <v>15</v>
      </c>
      <c r="F185" s="7" t="s">
        <v>614</v>
      </c>
      <c r="G185" s="8">
        <v>2663.65</v>
      </c>
      <c r="H185" s="8">
        <v>0</v>
      </c>
      <c r="I185" s="8">
        <v>1670.72</v>
      </c>
      <c r="J185" s="8">
        <v>2149.23</v>
      </c>
      <c r="K185" s="8">
        <v>1750.2</v>
      </c>
      <c r="L185" s="8"/>
      <c r="M185" s="8" t="s">
        <v>19</v>
      </c>
      <c r="P185">
        <f t="shared" si="2"/>
        <v>2663.65</v>
      </c>
    </row>
    <row r="186" ht="62.4" customHeight="1" spans="1:16">
      <c r="A186" s="7" t="s">
        <v>615</v>
      </c>
      <c r="B186" s="12" t="s">
        <v>616</v>
      </c>
      <c r="C186" s="12" t="s">
        <v>617</v>
      </c>
      <c r="D186" s="7" t="s">
        <v>126</v>
      </c>
      <c r="E186" s="13" t="s">
        <v>15</v>
      </c>
      <c r="F186" s="7" t="s">
        <v>618</v>
      </c>
      <c r="G186" s="8">
        <v>13500</v>
      </c>
      <c r="H186" s="8">
        <v>0</v>
      </c>
      <c r="I186" s="8">
        <v>24513</v>
      </c>
      <c r="J186" s="8">
        <v>26541</v>
      </c>
      <c r="K186" s="8">
        <v>28153</v>
      </c>
      <c r="L186" s="8"/>
      <c r="M186" s="8" t="s">
        <v>19</v>
      </c>
      <c r="P186">
        <f t="shared" si="2"/>
        <v>13500</v>
      </c>
    </row>
    <row r="187" ht="62.4" customHeight="1" spans="1:16">
      <c r="A187" s="7" t="s">
        <v>619</v>
      </c>
      <c r="B187" s="12" t="s">
        <v>620</v>
      </c>
      <c r="C187" s="12" t="s">
        <v>621</v>
      </c>
      <c r="D187" s="7" t="s">
        <v>126</v>
      </c>
      <c r="E187" s="13" t="s">
        <v>15</v>
      </c>
      <c r="F187" s="7" t="s">
        <v>622</v>
      </c>
      <c r="G187" s="8">
        <v>10100</v>
      </c>
      <c r="H187" s="8">
        <v>0</v>
      </c>
      <c r="I187" s="8">
        <v>22013</v>
      </c>
      <c r="J187" s="8">
        <v>25143</v>
      </c>
      <c r="K187" s="8">
        <v>26579</v>
      </c>
      <c r="L187" s="8"/>
      <c r="M187" s="8" t="s">
        <v>19</v>
      </c>
      <c r="P187">
        <f t="shared" si="2"/>
        <v>10100</v>
      </c>
    </row>
    <row r="188" ht="62.4" customHeight="1" spans="1:16">
      <c r="A188" s="7" t="s">
        <v>623</v>
      </c>
      <c r="B188" s="12" t="s">
        <v>624</v>
      </c>
      <c r="C188" s="12" t="s">
        <v>625</v>
      </c>
      <c r="D188" s="7" t="s">
        <v>126</v>
      </c>
      <c r="E188" s="13" t="s">
        <v>15</v>
      </c>
      <c r="F188" s="7" t="s">
        <v>626</v>
      </c>
      <c r="G188" s="8">
        <v>36100</v>
      </c>
      <c r="H188" s="8">
        <v>0</v>
      </c>
      <c r="I188" s="8">
        <v>43150</v>
      </c>
      <c r="J188" s="8">
        <v>45782</v>
      </c>
      <c r="K188" s="8">
        <v>51251</v>
      </c>
      <c r="L188" s="8"/>
      <c r="M188" s="8" t="s">
        <v>19</v>
      </c>
      <c r="P188">
        <f t="shared" si="2"/>
        <v>36100</v>
      </c>
    </row>
    <row r="189" ht="26.4" customHeight="1" spans="1:16">
      <c r="A189" s="7" t="s">
        <v>627</v>
      </c>
      <c r="B189" s="12" t="s">
        <v>628</v>
      </c>
      <c r="C189" s="12" t="s">
        <v>629</v>
      </c>
      <c r="D189" s="7" t="s">
        <v>126</v>
      </c>
      <c r="E189" s="13" t="s">
        <v>15</v>
      </c>
      <c r="F189" s="7" t="s">
        <v>529</v>
      </c>
      <c r="G189" s="8">
        <v>8500</v>
      </c>
      <c r="H189" s="8">
        <v>0</v>
      </c>
      <c r="I189" s="8">
        <v>16572</v>
      </c>
      <c r="J189" s="8">
        <v>17285</v>
      </c>
      <c r="K189" s="8">
        <v>18570</v>
      </c>
      <c r="L189" s="8"/>
      <c r="M189" s="8" t="s">
        <v>19</v>
      </c>
      <c r="P189">
        <f t="shared" si="2"/>
        <v>8500</v>
      </c>
    </row>
    <row r="190" ht="26.4" customHeight="1" spans="1:16">
      <c r="A190" s="7" t="s">
        <v>630</v>
      </c>
      <c r="B190" s="12" t="s">
        <v>631</v>
      </c>
      <c r="C190" s="12" t="s">
        <v>629</v>
      </c>
      <c r="D190" s="7" t="s">
        <v>126</v>
      </c>
      <c r="E190" s="13" t="s">
        <v>15</v>
      </c>
      <c r="F190" s="7" t="s">
        <v>529</v>
      </c>
      <c r="G190" s="8">
        <v>8500</v>
      </c>
      <c r="H190" s="8">
        <v>0</v>
      </c>
      <c r="I190" s="8">
        <v>16572</v>
      </c>
      <c r="J190" s="8">
        <v>17285</v>
      </c>
      <c r="K190" s="8">
        <v>18570</v>
      </c>
      <c r="L190" s="8"/>
      <c r="M190" s="8" t="s">
        <v>19</v>
      </c>
      <c r="P190">
        <f t="shared" si="2"/>
        <v>8500</v>
      </c>
    </row>
    <row r="191" ht="38.4" customHeight="1" spans="1:16">
      <c r="A191" s="7" t="s">
        <v>632</v>
      </c>
      <c r="B191" s="12" t="s">
        <v>633</v>
      </c>
      <c r="C191" s="12" t="s">
        <v>634</v>
      </c>
      <c r="D191" s="7" t="s">
        <v>126</v>
      </c>
      <c r="E191" s="13" t="s">
        <v>15</v>
      </c>
      <c r="F191" s="7" t="s">
        <v>127</v>
      </c>
      <c r="G191" s="8">
        <v>9500</v>
      </c>
      <c r="H191" s="8">
        <v>0</v>
      </c>
      <c r="I191" s="8">
        <v>21090</v>
      </c>
      <c r="J191" s="8">
        <v>21999</v>
      </c>
      <c r="K191" s="8">
        <v>24159</v>
      </c>
      <c r="L191" s="8"/>
      <c r="M191" s="8" t="s">
        <v>19</v>
      </c>
      <c r="P191">
        <f t="shared" si="2"/>
        <v>9500</v>
      </c>
    </row>
    <row r="192" ht="17.4" customHeight="1" spans="1:16">
      <c r="A192" s="7" t="s">
        <v>635</v>
      </c>
      <c r="B192" s="12" t="s">
        <v>636</v>
      </c>
      <c r="C192" s="12" t="s">
        <v>637</v>
      </c>
      <c r="D192" s="7" t="s">
        <v>55</v>
      </c>
      <c r="E192" s="13" t="s">
        <v>32</v>
      </c>
      <c r="F192" s="7" t="s">
        <v>638</v>
      </c>
      <c r="G192" s="8">
        <v>796.46</v>
      </c>
      <c r="H192" s="8">
        <v>0</v>
      </c>
      <c r="I192" s="8">
        <v>1314</v>
      </c>
      <c r="J192" s="8">
        <v>1405.41</v>
      </c>
      <c r="K192" s="8">
        <v>1537.9</v>
      </c>
      <c r="L192" s="8"/>
      <c r="M192" s="18" t="s">
        <v>19</v>
      </c>
      <c r="N192" s="19"/>
      <c r="O192" s="19"/>
      <c r="P192">
        <f t="shared" si="2"/>
        <v>796.46</v>
      </c>
    </row>
    <row r="193" ht="17.4" customHeight="1" spans="1:16">
      <c r="A193" s="7" t="s">
        <v>639</v>
      </c>
      <c r="B193" s="12" t="s">
        <v>640</v>
      </c>
      <c r="C193" s="12" t="s">
        <v>641</v>
      </c>
      <c r="D193" s="7" t="s">
        <v>18</v>
      </c>
      <c r="E193" s="13" t="s">
        <v>93</v>
      </c>
      <c r="F193" s="7" t="s">
        <v>642</v>
      </c>
      <c r="G193" s="8">
        <v>35</v>
      </c>
      <c r="H193" s="8">
        <v>32.81</v>
      </c>
      <c r="I193" s="8">
        <v>55.5</v>
      </c>
      <c r="J193" s="8">
        <v>65.1</v>
      </c>
      <c r="K193" s="8">
        <v>70.2</v>
      </c>
      <c r="L193" s="8"/>
      <c r="M193" s="8" t="s">
        <v>19</v>
      </c>
      <c r="P193">
        <f t="shared" si="2"/>
        <v>2.19</v>
      </c>
    </row>
    <row r="194" ht="17.4" customHeight="1" spans="1:16">
      <c r="A194" s="7" t="s">
        <v>643</v>
      </c>
      <c r="B194" s="12" t="s">
        <v>640</v>
      </c>
      <c r="C194" s="12" t="s">
        <v>644</v>
      </c>
      <c r="D194" s="7" t="s">
        <v>18</v>
      </c>
      <c r="E194" s="13" t="s">
        <v>645</v>
      </c>
      <c r="F194" s="7" t="s">
        <v>646</v>
      </c>
      <c r="G194" s="8">
        <v>40</v>
      </c>
      <c r="H194" s="8">
        <v>40.53</v>
      </c>
      <c r="I194" s="8">
        <v>48.9</v>
      </c>
      <c r="J194" s="8">
        <v>65.3</v>
      </c>
      <c r="K194" s="8">
        <v>75.2</v>
      </c>
      <c r="L194" s="8"/>
      <c r="M194" s="8" t="s">
        <v>19</v>
      </c>
      <c r="P194">
        <f t="shared" si="2"/>
        <v>-0.530000000000001</v>
      </c>
    </row>
    <row r="195" ht="17.4" customHeight="1" spans="1:16">
      <c r="A195" s="7" t="s">
        <v>647</v>
      </c>
      <c r="B195" s="12" t="s">
        <v>640</v>
      </c>
      <c r="C195" s="12" t="s">
        <v>648</v>
      </c>
      <c r="D195" s="7" t="s">
        <v>18</v>
      </c>
      <c r="E195" s="13" t="s">
        <v>31</v>
      </c>
      <c r="F195" s="7" t="s">
        <v>649</v>
      </c>
      <c r="G195" s="8">
        <v>50</v>
      </c>
      <c r="H195" s="8">
        <v>0</v>
      </c>
      <c r="I195" s="8">
        <v>65.5</v>
      </c>
      <c r="J195" s="8">
        <v>75.3</v>
      </c>
      <c r="K195" s="8">
        <v>83.5</v>
      </c>
      <c r="L195" s="8"/>
      <c r="M195" s="8" t="s">
        <v>19</v>
      </c>
      <c r="P195">
        <f t="shared" si="2"/>
        <v>50</v>
      </c>
    </row>
    <row r="196" ht="17.4" customHeight="1" spans="1:16">
      <c r="A196" s="7" t="s">
        <v>650</v>
      </c>
      <c r="B196" s="12" t="s">
        <v>640</v>
      </c>
      <c r="C196" s="12" t="s">
        <v>513</v>
      </c>
      <c r="D196" s="7" t="s">
        <v>18</v>
      </c>
      <c r="E196" s="13" t="s">
        <v>233</v>
      </c>
      <c r="F196" s="7" t="s">
        <v>649</v>
      </c>
      <c r="G196" s="8">
        <v>50</v>
      </c>
      <c r="H196" s="8">
        <v>0</v>
      </c>
      <c r="I196" s="8">
        <v>85.3</v>
      </c>
      <c r="J196" s="8">
        <v>89.7</v>
      </c>
      <c r="K196" s="8">
        <v>91.5</v>
      </c>
      <c r="L196" s="8"/>
      <c r="M196" s="8" t="s">
        <v>19</v>
      </c>
      <c r="P196">
        <f t="shared" si="2"/>
        <v>50</v>
      </c>
    </row>
    <row r="197" ht="17.4" customHeight="1" spans="1:16">
      <c r="A197" s="7" t="s">
        <v>651</v>
      </c>
      <c r="B197" s="12" t="s">
        <v>640</v>
      </c>
      <c r="C197" s="12" t="s">
        <v>516</v>
      </c>
      <c r="D197" s="7" t="s">
        <v>18</v>
      </c>
      <c r="E197" s="13" t="s">
        <v>652</v>
      </c>
      <c r="F197" s="7" t="s">
        <v>653</v>
      </c>
      <c r="G197" s="8">
        <v>56</v>
      </c>
      <c r="H197" s="8">
        <v>0</v>
      </c>
      <c r="I197" s="8">
        <v>79.8</v>
      </c>
      <c r="J197" s="8">
        <v>83.5</v>
      </c>
      <c r="K197" s="8">
        <v>97.8</v>
      </c>
      <c r="L197" s="8"/>
      <c r="M197" s="8" t="s">
        <v>19</v>
      </c>
      <c r="P197">
        <f t="shared" ref="P197:P260" si="3">F197-H197</f>
        <v>56</v>
      </c>
    </row>
    <row r="198" ht="17.4" customHeight="1" spans="1:16">
      <c r="A198" s="7" t="s">
        <v>654</v>
      </c>
      <c r="B198" s="17" t="s">
        <v>655</v>
      </c>
      <c r="C198" s="12" t="s">
        <v>109</v>
      </c>
      <c r="D198" s="7" t="s">
        <v>115</v>
      </c>
      <c r="E198" s="13" t="s">
        <v>656</v>
      </c>
      <c r="F198" s="7" t="s">
        <v>657</v>
      </c>
      <c r="G198" s="8">
        <v>2.8</v>
      </c>
      <c r="H198" s="8">
        <v>4</v>
      </c>
      <c r="I198" s="8"/>
      <c r="J198" s="8"/>
      <c r="K198" s="8"/>
      <c r="L198" s="8"/>
      <c r="M198" s="8"/>
      <c r="P198">
        <f t="shared" si="3"/>
        <v>-1.2</v>
      </c>
    </row>
    <row r="199" ht="17.4" customHeight="1" spans="1:16">
      <c r="A199" s="7" t="s">
        <v>658</v>
      </c>
      <c r="B199" s="12" t="s">
        <v>659</v>
      </c>
      <c r="C199" s="12" t="s">
        <v>109</v>
      </c>
      <c r="D199" s="7" t="s">
        <v>126</v>
      </c>
      <c r="E199" s="13" t="s">
        <v>20</v>
      </c>
      <c r="F199" s="7" t="s">
        <v>618</v>
      </c>
      <c r="G199" s="8">
        <v>13500</v>
      </c>
      <c r="H199" s="8">
        <v>4604.21</v>
      </c>
      <c r="I199" s="8">
        <v>18900</v>
      </c>
      <c r="J199" s="8">
        <v>21085.06</v>
      </c>
      <c r="K199" s="8">
        <v>22529.48</v>
      </c>
      <c r="L199" s="8"/>
      <c r="M199" s="8" t="s">
        <v>19</v>
      </c>
      <c r="P199">
        <f t="shared" si="3"/>
        <v>8895.79</v>
      </c>
    </row>
    <row r="200" ht="17.4" customHeight="1" spans="1:16">
      <c r="A200" s="7" t="s">
        <v>660</v>
      </c>
      <c r="B200" s="12" t="s">
        <v>661</v>
      </c>
      <c r="C200" s="12" t="s">
        <v>662</v>
      </c>
      <c r="D200" s="7" t="s">
        <v>361</v>
      </c>
      <c r="E200" s="13" t="s">
        <v>663</v>
      </c>
      <c r="F200" s="7" t="s">
        <v>664</v>
      </c>
      <c r="G200" s="8">
        <v>0.36</v>
      </c>
      <c r="H200" s="8">
        <v>0</v>
      </c>
      <c r="I200" s="8"/>
      <c r="J200" s="8"/>
      <c r="K200" s="8"/>
      <c r="L200" s="8"/>
      <c r="M200" s="8">
        <f>338/1000</f>
        <v>0.338</v>
      </c>
      <c r="P200">
        <f t="shared" si="3"/>
        <v>0.36</v>
      </c>
    </row>
    <row r="201" ht="17.4" customHeight="1" spans="1:16">
      <c r="A201" s="7" t="s">
        <v>665</v>
      </c>
      <c r="B201" s="12" t="s">
        <v>666</v>
      </c>
      <c r="C201" s="12" t="s">
        <v>667</v>
      </c>
      <c r="D201" s="7" t="s">
        <v>126</v>
      </c>
      <c r="E201" s="13" t="s">
        <v>15</v>
      </c>
      <c r="F201" s="7" t="s">
        <v>668</v>
      </c>
      <c r="G201" s="8">
        <v>47530</v>
      </c>
      <c r="H201" s="8">
        <v>0</v>
      </c>
      <c r="I201" s="8">
        <v>8500.45</v>
      </c>
      <c r="J201" s="8">
        <v>8808.49</v>
      </c>
      <c r="K201" s="8">
        <v>9605.3</v>
      </c>
      <c r="L201" s="8"/>
      <c r="M201" s="8" t="s">
        <v>19</v>
      </c>
      <c r="P201">
        <f t="shared" si="3"/>
        <v>47530</v>
      </c>
    </row>
    <row r="202" ht="17.4" customHeight="1" spans="1:16">
      <c r="A202" s="7" t="s">
        <v>669</v>
      </c>
      <c r="B202" s="12" t="s">
        <v>670</v>
      </c>
      <c r="C202" s="12" t="s">
        <v>671</v>
      </c>
      <c r="D202" s="7" t="s">
        <v>55</v>
      </c>
      <c r="E202" s="13" t="s">
        <v>92</v>
      </c>
      <c r="F202" s="7" t="s">
        <v>672</v>
      </c>
      <c r="G202" s="8">
        <v>550</v>
      </c>
      <c r="H202" s="8">
        <v>0</v>
      </c>
      <c r="I202" s="8">
        <v>745.8</v>
      </c>
      <c r="J202" s="8">
        <v>785.98</v>
      </c>
      <c r="K202" s="8">
        <v>781.54</v>
      </c>
      <c r="L202" s="8"/>
      <c r="M202" s="8" t="s">
        <v>19</v>
      </c>
      <c r="P202">
        <f t="shared" si="3"/>
        <v>550</v>
      </c>
    </row>
    <row r="203" ht="26.4" customHeight="1" spans="1:16">
      <c r="A203" s="7" t="s">
        <v>673</v>
      </c>
      <c r="B203" s="12" t="s">
        <v>674</v>
      </c>
      <c r="C203" s="12" t="s">
        <v>675</v>
      </c>
      <c r="D203" s="7" t="s">
        <v>55</v>
      </c>
      <c r="E203" s="13" t="s">
        <v>288</v>
      </c>
      <c r="F203" s="7" t="s">
        <v>498</v>
      </c>
      <c r="G203" s="8">
        <v>600</v>
      </c>
      <c r="H203" s="8">
        <v>937.18</v>
      </c>
      <c r="I203" s="8">
        <v>813.6</v>
      </c>
      <c r="J203" s="8">
        <v>857.97</v>
      </c>
      <c r="K203" s="8">
        <v>858.12</v>
      </c>
      <c r="L203" s="8"/>
      <c r="M203" s="8" t="s">
        <v>19</v>
      </c>
      <c r="P203">
        <f t="shared" si="3"/>
        <v>-337.18</v>
      </c>
    </row>
    <row r="204" ht="17.4" customHeight="1" spans="1:16">
      <c r="A204" s="7" t="s">
        <v>676</v>
      </c>
      <c r="B204" s="15" t="s">
        <v>677</v>
      </c>
      <c r="C204" s="12" t="s">
        <v>678</v>
      </c>
      <c r="D204" s="7" t="s">
        <v>153</v>
      </c>
      <c r="E204" s="13" t="s">
        <v>679</v>
      </c>
      <c r="F204" s="7" t="s">
        <v>680</v>
      </c>
      <c r="G204" s="8">
        <v>1.07</v>
      </c>
      <c r="H204" s="8">
        <v>0</v>
      </c>
      <c r="I204" s="8"/>
      <c r="J204" s="8"/>
      <c r="K204" s="8"/>
      <c r="L204" s="8"/>
      <c r="M204" s="18"/>
      <c r="N204" s="19"/>
      <c r="O204" s="19"/>
      <c r="P204">
        <f t="shared" si="3"/>
        <v>1.07</v>
      </c>
    </row>
    <row r="205" ht="17.4" customHeight="1" spans="1:16">
      <c r="A205" s="7" t="s">
        <v>681</v>
      </c>
      <c r="B205" s="12" t="s">
        <v>682</v>
      </c>
      <c r="C205" s="12" t="s">
        <v>683</v>
      </c>
      <c r="D205" s="7" t="s">
        <v>115</v>
      </c>
      <c r="E205" s="13" t="s">
        <v>684</v>
      </c>
      <c r="F205" s="7" t="s">
        <v>99</v>
      </c>
      <c r="G205" s="8">
        <v>115</v>
      </c>
      <c r="H205" s="8">
        <v>0</v>
      </c>
      <c r="I205" s="8"/>
      <c r="J205" s="8"/>
      <c r="K205" s="8"/>
      <c r="L205" s="8"/>
      <c r="M205" s="18">
        <v>115</v>
      </c>
      <c r="N205" s="19"/>
      <c r="O205" s="19"/>
      <c r="P205">
        <f t="shared" si="3"/>
        <v>115</v>
      </c>
    </row>
    <row r="206" ht="17.4" customHeight="1" spans="1:16">
      <c r="A206" s="7" t="s">
        <v>685</v>
      </c>
      <c r="B206" s="12" t="s">
        <v>686</v>
      </c>
      <c r="C206" s="12" t="s">
        <v>109</v>
      </c>
      <c r="D206" s="7" t="s">
        <v>361</v>
      </c>
      <c r="E206" s="13" t="s">
        <v>687</v>
      </c>
      <c r="F206" s="7" t="s">
        <v>688</v>
      </c>
      <c r="G206" s="8">
        <v>2.96</v>
      </c>
      <c r="H206" s="8">
        <v>3.65</v>
      </c>
      <c r="I206" s="8">
        <v>4.02</v>
      </c>
      <c r="J206" s="8">
        <v>4.25</v>
      </c>
      <c r="K206" s="8">
        <v>4.22</v>
      </c>
      <c r="L206" s="8"/>
      <c r="M206" s="8" t="s">
        <v>19</v>
      </c>
      <c r="P206">
        <f t="shared" si="3"/>
        <v>-0.686</v>
      </c>
    </row>
    <row r="207" ht="17.4" customHeight="1" spans="1:16">
      <c r="A207" s="7" t="s">
        <v>689</v>
      </c>
      <c r="B207" s="12" t="s">
        <v>690</v>
      </c>
      <c r="C207" s="12" t="s">
        <v>175</v>
      </c>
      <c r="D207" s="7" t="s">
        <v>691</v>
      </c>
      <c r="E207" s="13" t="s">
        <v>25</v>
      </c>
      <c r="F207" s="7" t="s">
        <v>692</v>
      </c>
      <c r="G207" s="8">
        <v>41.41</v>
      </c>
      <c r="H207" s="8">
        <v>0</v>
      </c>
      <c r="I207" s="8">
        <v>45.7</v>
      </c>
      <c r="J207" s="8">
        <v>48.72</v>
      </c>
      <c r="K207" s="8">
        <v>47.6</v>
      </c>
      <c r="L207" s="8"/>
      <c r="M207" s="8" t="s">
        <v>19</v>
      </c>
      <c r="P207">
        <f t="shared" si="3"/>
        <v>41.41</v>
      </c>
    </row>
    <row r="208" ht="17.4" customHeight="1" spans="1:16">
      <c r="A208" s="7" t="s">
        <v>693</v>
      </c>
      <c r="B208" s="15" t="s">
        <v>694</v>
      </c>
      <c r="C208" s="12" t="s">
        <v>152</v>
      </c>
      <c r="D208" s="7" t="s">
        <v>695</v>
      </c>
      <c r="E208" s="13" t="s">
        <v>92</v>
      </c>
      <c r="F208" s="7" t="s">
        <v>696</v>
      </c>
      <c r="G208" s="8">
        <v>88.4</v>
      </c>
      <c r="H208" s="8">
        <v>72</v>
      </c>
      <c r="I208" s="8"/>
      <c r="J208" s="8"/>
      <c r="K208" s="8"/>
      <c r="L208" s="8"/>
      <c r="M208" s="8" t="s">
        <v>19</v>
      </c>
      <c r="P208">
        <f t="shared" si="3"/>
        <v>16.4</v>
      </c>
    </row>
    <row r="209" ht="17.4" customHeight="1" spans="1:16">
      <c r="A209" s="7" t="s">
        <v>697</v>
      </c>
      <c r="B209" s="15" t="s">
        <v>694</v>
      </c>
      <c r="C209" s="12" t="s">
        <v>175</v>
      </c>
      <c r="D209" s="7" t="s">
        <v>691</v>
      </c>
      <c r="E209" s="13" t="s">
        <v>113</v>
      </c>
      <c r="F209" s="7" t="s">
        <v>698</v>
      </c>
      <c r="G209" s="8">
        <v>67.5</v>
      </c>
      <c r="H209" s="8">
        <v>108</v>
      </c>
      <c r="I209" s="8"/>
      <c r="J209" s="8"/>
      <c r="K209" s="8"/>
      <c r="L209" s="8"/>
      <c r="M209" s="8" t="s">
        <v>19</v>
      </c>
      <c r="P209">
        <f t="shared" si="3"/>
        <v>-40.5</v>
      </c>
    </row>
    <row r="210" ht="17.4" customHeight="1" spans="1:16">
      <c r="A210" s="7" t="s">
        <v>699</v>
      </c>
      <c r="B210" s="15" t="s">
        <v>694</v>
      </c>
      <c r="C210" s="12" t="s">
        <v>162</v>
      </c>
      <c r="D210" s="7" t="s">
        <v>691</v>
      </c>
      <c r="E210" s="13" t="s">
        <v>92</v>
      </c>
      <c r="F210" s="7" t="s">
        <v>700</v>
      </c>
      <c r="G210" s="8">
        <v>86.5</v>
      </c>
      <c r="H210" s="8">
        <v>144</v>
      </c>
      <c r="I210" s="8"/>
      <c r="J210" s="8"/>
      <c r="K210" s="8"/>
      <c r="L210" s="8"/>
      <c r="M210" s="8" t="s">
        <v>19</v>
      </c>
      <c r="P210">
        <f t="shared" si="3"/>
        <v>-57.5</v>
      </c>
    </row>
    <row r="211" ht="17.4" customHeight="1" spans="1:16">
      <c r="A211" s="7" t="s">
        <v>701</v>
      </c>
      <c r="B211" s="12" t="s">
        <v>694</v>
      </c>
      <c r="C211" s="12" t="s">
        <v>180</v>
      </c>
      <c r="D211" s="7" t="s">
        <v>691</v>
      </c>
      <c r="E211" s="13" t="s">
        <v>45</v>
      </c>
      <c r="F211" s="7" t="s">
        <v>702</v>
      </c>
      <c r="G211" s="8">
        <v>20.93</v>
      </c>
      <c r="H211" s="8">
        <v>0</v>
      </c>
      <c r="I211" s="8">
        <v>23.1</v>
      </c>
      <c r="J211" s="8">
        <v>24.78</v>
      </c>
      <c r="K211" s="8">
        <v>25.22</v>
      </c>
      <c r="L211" s="8"/>
      <c r="M211" s="8" t="s">
        <v>19</v>
      </c>
      <c r="P211">
        <f t="shared" si="3"/>
        <v>20.93</v>
      </c>
    </row>
    <row r="212" ht="17.4" customHeight="1" spans="1:16">
      <c r="A212" s="7" t="s">
        <v>703</v>
      </c>
      <c r="B212" s="12" t="s">
        <v>704</v>
      </c>
      <c r="C212" s="12" t="s">
        <v>109</v>
      </c>
      <c r="D212" s="7" t="s">
        <v>115</v>
      </c>
      <c r="E212" s="13" t="s">
        <v>705</v>
      </c>
      <c r="F212" s="7" t="s">
        <v>38</v>
      </c>
      <c r="G212" s="8">
        <v>180</v>
      </c>
      <c r="H212" s="8">
        <v>0</v>
      </c>
      <c r="I212" s="8"/>
      <c r="J212" s="8"/>
      <c r="K212" s="8"/>
      <c r="L212" s="8"/>
      <c r="M212" s="8">
        <v>185</v>
      </c>
      <c r="P212">
        <f t="shared" si="3"/>
        <v>180</v>
      </c>
    </row>
    <row r="213" ht="17.4" customHeight="1" spans="1:16">
      <c r="A213" s="7" t="s">
        <v>706</v>
      </c>
      <c r="B213" s="12" t="s">
        <v>707</v>
      </c>
      <c r="C213" s="12" t="s">
        <v>109</v>
      </c>
      <c r="D213" s="7" t="s">
        <v>361</v>
      </c>
      <c r="E213" s="13" t="s">
        <v>708</v>
      </c>
      <c r="F213" s="7" t="s">
        <v>709</v>
      </c>
      <c r="G213" s="8">
        <v>3.37</v>
      </c>
      <c r="H213" s="8">
        <v>3.5</v>
      </c>
      <c r="I213" s="8">
        <v>4.57</v>
      </c>
      <c r="J213" s="8">
        <v>4.8</v>
      </c>
      <c r="K213" s="8">
        <v>4.84</v>
      </c>
      <c r="L213" s="8"/>
      <c r="M213" s="18" t="s">
        <v>19</v>
      </c>
      <c r="N213" s="19"/>
      <c r="O213" s="19"/>
      <c r="P213">
        <f t="shared" si="3"/>
        <v>-0.13</v>
      </c>
    </row>
    <row r="214" ht="17.4" customHeight="1" spans="1:16">
      <c r="A214" s="7" t="s">
        <v>710</v>
      </c>
      <c r="B214" s="15" t="s">
        <v>711</v>
      </c>
      <c r="C214" s="12" t="s">
        <v>109</v>
      </c>
      <c r="D214" s="7" t="s">
        <v>110</v>
      </c>
      <c r="E214" s="13" t="s">
        <v>712</v>
      </c>
      <c r="F214" s="7" t="s">
        <v>713</v>
      </c>
      <c r="G214" s="8">
        <v>3.02</v>
      </c>
      <c r="H214" s="8">
        <v>0</v>
      </c>
      <c r="I214" s="8"/>
      <c r="J214" s="8"/>
      <c r="K214" s="8"/>
      <c r="L214" s="8"/>
      <c r="M214" s="8" t="s">
        <v>19</v>
      </c>
      <c r="P214">
        <f t="shared" si="3"/>
        <v>3.02</v>
      </c>
    </row>
    <row r="215" ht="17.4" customHeight="1" spans="1:16">
      <c r="A215" s="7" t="s">
        <v>714</v>
      </c>
      <c r="B215" s="12" t="s">
        <v>715</v>
      </c>
      <c r="C215" s="12" t="s">
        <v>716</v>
      </c>
      <c r="D215" s="7" t="s">
        <v>153</v>
      </c>
      <c r="E215" s="13" t="s">
        <v>717</v>
      </c>
      <c r="F215" s="7" t="s">
        <v>718</v>
      </c>
      <c r="G215" s="8">
        <v>34.39</v>
      </c>
      <c r="H215" s="8">
        <v>0</v>
      </c>
      <c r="I215" s="8">
        <v>55.7</v>
      </c>
      <c r="J215" s="8">
        <v>65.9</v>
      </c>
      <c r="K215" s="8">
        <v>68.7</v>
      </c>
      <c r="L215" s="8"/>
      <c r="M215" s="8" t="s">
        <v>19</v>
      </c>
      <c r="P215">
        <f t="shared" si="3"/>
        <v>34.39</v>
      </c>
    </row>
    <row r="216" ht="17.4" customHeight="1" spans="1:16">
      <c r="A216" s="7" t="s">
        <v>719</v>
      </c>
      <c r="B216" s="12" t="s">
        <v>715</v>
      </c>
      <c r="C216" s="12" t="s">
        <v>720</v>
      </c>
      <c r="D216" s="7" t="s">
        <v>153</v>
      </c>
      <c r="E216" s="13" t="s">
        <v>721</v>
      </c>
      <c r="F216" s="7" t="s">
        <v>722</v>
      </c>
      <c r="G216" s="8">
        <v>36.98</v>
      </c>
      <c r="H216" s="8">
        <v>0</v>
      </c>
      <c r="I216" s="8">
        <v>79.5</v>
      </c>
      <c r="J216" s="8">
        <v>89.3</v>
      </c>
      <c r="K216" s="8">
        <v>93.2</v>
      </c>
      <c r="L216" s="8"/>
      <c r="M216" s="8" t="s">
        <v>19</v>
      </c>
      <c r="P216">
        <f t="shared" si="3"/>
        <v>36.98</v>
      </c>
    </row>
    <row r="217" ht="17.4" customHeight="1" spans="1:16">
      <c r="A217" s="7" t="s">
        <v>723</v>
      </c>
      <c r="B217" s="12" t="s">
        <v>715</v>
      </c>
      <c r="C217" s="12" t="s">
        <v>724</v>
      </c>
      <c r="D217" s="7" t="s">
        <v>153</v>
      </c>
      <c r="E217" s="13" t="s">
        <v>725</v>
      </c>
      <c r="F217" s="7" t="s">
        <v>726</v>
      </c>
      <c r="G217" s="8">
        <v>12.32</v>
      </c>
      <c r="H217" s="8">
        <v>0</v>
      </c>
      <c r="I217" s="8">
        <v>28.9</v>
      </c>
      <c r="J217" s="8">
        <v>38.3</v>
      </c>
      <c r="K217" s="8">
        <v>45.8</v>
      </c>
      <c r="L217" s="8"/>
      <c r="M217" s="8" t="s">
        <v>19</v>
      </c>
      <c r="P217">
        <f t="shared" si="3"/>
        <v>12.32</v>
      </c>
    </row>
    <row r="218" ht="17.4" customHeight="1" spans="1:16">
      <c r="A218" s="7" t="s">
        <v>727</v>
      </c>
      <c r="B218" s="12" t="s">
        <v>715</v>
      </c>
      <c r="C218" s="12" t="s">
        <v>728</v>
      </c>
      <c r="D218" s="7" t="s">
        <v>153</v>
      </c>
      <c r="E218" s="13" t="s">
        <v>729</v>
      </c>
      <c r="F218" s="7" t="s">
        <v>730</v>
      </c>
      <c r="G218" s="8">
        <v>25</v>
      </c>
      <c r="H218" s="8">
        <v>0</v>
      </c>
      <c r="I218" s="8">
        <v>48.7</v>
      </c>
      <c r="J218" s="8">
        <v>55.3</v>
      </c>
      <c r="K218" s="8">
        <v>60.2</v>
      </c>
      <c r="L218" s="8"/>
      <c r="M218" s="8" t="s">
        <v>19</v>
      </c>
      <c r="P218">
        <f t="shared" si="3"/>
        <v>25</v>
      </c>
    </row>
    <row r="219" ht="17.4" customHeight="1" spans="1:16">
      <c r="A219" s="7" t="s">
        <v>731</v>
      </c>
      <c r="B219" s="12" t="s">
        <v>732</v>
      </c>
      <c r="C219" s="12" t="s">
        <v>109</v>
      </c>
      <c r="D219" s="7" t="s">
        <v>55</v>
      </c>
      <c r="E219" s="13" t="s">
        <v>61</v>
      </c>
      <c r="F219" s="7" t="s">
        <v>733</v>
      </c>
      <c r="G219" s="8">
        <v>74.78</v>
      </c>
      <c r="H219" s="8">
        <v>0</v>
      </c>
      <c r="I219" s="8">
        <v>74.78</v>
      </c>
      <c r="J219" s="8">
        <v>174.78</v>
      </c>
      <c r="K219" s="8">
        <v>254.78</v>
      </c>
      <c r="L219" s="8"/>
      <c r="M219" s="8" t="s">
        <v>19</v>
      </c>
      <c r="P219">
        <f t="shared" si="3"/>
        <v>74.78</v>
      </c>
    </row>
    <row r="220" ht="26.4" customHeight="1" spans="1:16">
      <c r="A220" s="7" t="s">
        <v>734</v>
      </c>
      <c r="B220" s="12" t="s">
        <v>735</v>
      </c>
      <c r="C220" s="12" t="s">
        <v>736</v>
      </c>
      <c r="D220" s="7" t="s">
        <v>126</v>
      </c>
      <c r="E220" s="13" t="s">
        <v>15</v>
      </c>
      <c r="F220" s="7" t="s">
        <v>737</v>
      </c>
      <c r="G220" s="8">
        <v>22700</v>
      </c>
      <c r="H220" s="8">
        <v>37052.64</v>
      </c>
      <c r="I220" s="8">
        <v>29451.6</v>
      </c>
      <c r="J220" s="8">
        <v>36415.9</v>
      </c>
      <c r="K220" s="8">
        <v>38967.3</v>
      </c>
      <c r="L220" s="8"/>
      <c r="M220" s="8" t="s">
        <v>19</v>
      </c>
      <c r="P220">
        <f t="shared" si="3"/>
        <v>-14352.64</v>
      </c>
    </row>
    <row r="221" ht="26.4" customHeight="1" spans="1:16">
      <c r="A221" s="7" t="s">
        <v>738</v>
      </c>
      <c r="B221" s="12" t="s">
        <v>739</v>
      </c>
      <c r="C221" s="12" t="s">
        <v>740</v>
      </c>
      <c r="D221" s="7" t="s">
        <v>126</v>
      </c>
      <c r="E221" s="13" t="s">
        <v>15</v>
      </c>
      <c r="F221" s="7" t="s">
        <v>741</v>
      </c>
      <c r="G221" s="8">
        <v>25800</v>
      </c>
      <c r="H221" s="8">
        <v>46315.8</v>
      </c>
      <c r="I221" s="8">
        <v>31467.8</v>
      </c>
      <c r="J221" s="8">
        <v>39855.6</v>
      </c>
      <c r="K221" s="8">
        <v>41253.6</v>
      </c>
      <c r="L221" s="8"/>
      <c r="M221" s="8" t="s">
        <v>19</v>
      </c>
      <c r="P221">
        <f t="shared" si="3"/>
        <v>-20515.8</v>
      </c>
    </row>
    <row r="222" ht="17.4" customHeight="1" spans="1:16">
      <c r="A222" s="7" t="s">
        <v>742</v>
      </c>
      <c r="B222" s="15" t="s">
        <v>743</v>
      </c>
      <c r="C222" s="12" t="s">
        <v>152</v>
      </c>
      <c r="D222" s="7" t="s">
        <v>153</v>
      </c>
      <c r="E222" s="13" t="s">
        <v>744</v>
      </c>
      <c r="F222" s="7" t="s">
        <v>745</v>
      </c>
      <c r="G222" s="8">
        <v>44.08</v>
      </c>
      <c r="H222" s="8">
        <v>50.78</v>
      </c>
      <c r="I222" s="8"/>
      <c r="J222" s="8"/>
      <c r="K222" s="8"/>
      <c r="L222" s="8"/>
      <c r="M222" s="8" t="s">
        <v>19</v>
      </c>
      <c r="P222">
        <f t="shared" si="3"/>
        <v>-6.7</v>
      </c>
    </row>
    <row r="223" ht="17.4" customHeight="1" spans="1:16">
      <c r="A223" s="7" t="s">
        <v>746</v>
      </c>
      <c r="B223" s="15" t="s">
        <v>743</v>
      </c>
      <c r="C223" s="12" t="s">
        <v>747</v>
      </c>
      <c r="D223" s="7" t="s">
        <v>153</v>
      </c>
      <c r="E223" s="13" t="s">
        <v>748</v>
      </c>
      <c r="F223" s="7" t="s">
        <v>749</v>
      </c>
      <c r="G223" s="8">
        <v>68.6</v>
      </c>
      <c r="H223" s="8">
        <v>62.99</v>
      </c>
      <c r="I223" s="8"/>
      <c r="J223" s="8"/>
      <c r="K223" s="8"/>
      <c r="L223" s="8"/>
      <c r="M223" s="8" t="s">
        <v>19</v>
      </c>
      <c r="P223">
        <f t="shared" si="3"/>
        <v>5.60999999999999</v>
      </c>
    </row>
    <row r="224" ht="17.4" customHeight="1" spans="1:16">
      <c r="A224" s="7" t="s">
        <v>750</v>
      </c>
      <c r="B224" s="15" t="s">
        <v>743</v>
      </c>
      <c r="C224" s="12" t="s">
        <v>175</v>
      </c>
      <c r="D224" s="7" t="s">
        <v>153</v>
      </c>
      <c r="E224" s="13" t="s">
        <v>751</v>
      </c>
      <c r="F224" s="7" t="s">
        <v>752</v>
      </c>
      <c r="G224" s="8">
        <v>93.7</v>
      </c>
      <c r="H224" s="8">
        <v>84.87</v>
      </c>
      <c r="I224" s="8"/>
      <c r="J224" s="8"/>
      <c r="K224" s="8"/>
      <c r="L224" s="8"/>
      <c r="M224" s="8" t="s">
        <v>19</v>
      </c>
      <c r="P224">
        <f t="shared" si="3"/>
        <v>8.83</v>
      </c>
    </row>
    <row r="225" ht="17.4" customHeight="1" spans="1:16">
      <c r="A225" s="7" t="s">
        <v>753</v>
      </c>
      <c r="B225" s="15" t="s">
        <v>743</v>
      </c>
      <c r="C225" s="12" t="s">
        <v>162</v>
      </c>
      <c r="D225" s="7" t="s">
        <v>153</v>
      </c>
      <c r="E225" s="13" t="s">
        <v>754</v>
      </c>
      <c r="F225" s="7" t="s">
        <v>755</v>
      </c>
      <c r="G225" s="8">
        <v>175.43</v>
      </c>
      <c r="H225" s="8">
        <v>156.01</v>
      </c>
      <c r="I225" s="8"/>
      <c r="J225" s="8"/>
      <c r="K225" s="8"/>
      <c r="L225" s="8"/>
      <c r="M225" s="8" t="s">
        <v>19</v>
      </c>
      <c r="P225">
        <f t="shared" si="3"/>
        <v>19.42</v>
      </c>
    </row>
    <row r="226" ht="17.4" customHeight="1" spans="1:16">
      <c r="A226" s="7" t="s">
        <v>756</v>
      </c>
      <c r="B226" s="15" t="s">
        <v>743</v>
      </c>
      <c r="C226" s="12" t="s">
        <v>180</v>
      </c>
      <c r="D226" s="7" t="s">
        <v>153</v>
      </c>
      <c r="E226" s="13" t="s">
        <v>757</v>
      </c>
      <c r="F226" s="7" t="s">
        <v>758</v>
      </c>
      <c r="G226" s="8">
        <v>28</v>
      </c>
      <c r="H226" s="8">
        <v>0</v>
      </c>
      <c r="I226" s="8"/>
      <c r="J226" s="8"/>
      <c r="K226" s="8"/>
      <c r="L226" s="8"/>
      <c r="M226" s="8" t="s">
        <v>19</v>
      </c>
      <c r="P226">
        <f t="shared" si="3"/>
        <v>28</v>
      </c>
    </row>
    <row r="227" ht="17.4" customHeight="1" spans="1:16">
      <c r="A227" s="7" t="s">
        <v>759</v>
      </c>
      <c r="B227" s="15" t="s">
        <v>743</v>
      </c>
      <c r="C227" s="12" t="s">
        <v>760</v>
      </c>
      <c r="D227" s="7" t="s">
        <v>153</v>
      </c>
      <c r="E227" s="13" t="s">
        <v>761</v>
      </c>
      <c r="F227" s="7" t="s">
        <v>762</v>
      </c>
      <c r="G227" s="8">
        <v>30.5</v>
      </c>
      <c r="H227" s="8">
        <v>30.98</v>
      </c>
      <c r="I227" s="8"/>
      <c r="J227" s="8"/>
      <c r="K227" s="8"/>
      <c r="L227" s="8"/>
      <c r="M227" s="8" t="s">
        <v>19</v>
      </c>
      <c r="P227">
        <f t="shared" si="3"/>
        <v>-0.48</v>
      </c>
    </row>
    <row r="228" ht="17.4" customHeight="1" spans="1:16">
      <c r="A228" s="7" t="s">
        <v>763</v>
      </c>
      <c r="B228" s="15" t="s">
        <v>743</v>
      </c>
      <c r="C228" s="12" t="s">
        <v>764</v>
      </c>
      <c r="D228" s="7" t="s">
        <v>153</v>
      </c>
      <c r="E228" s="13" t="s">
        <v>765</v>
      </c>
      <c r="F228" s="7" t="s">
        <v>766</v>
      </c>
      <c r="G228" s="8">
        <v>38.03</v>
      </c>
      <c r="H228" s="8">
        <v>41.5</v>
      </c>
      <c r="I228" s="8"/>
      <c r="J228" s="8"/>
      <c r="K228" s="8"/>
      <c r="L228" s="8"/>
      <c r="M228" s="8" t="s">
        <v>19</v>
      </c>
      <c r="P228">
        <f t="shared" si="3"/>
        <v>-3.47</v>
      </c>
    </row>
    <row r="229" ht="17.4" customHeight="1" spans="1:16">
      <c r="A229" s="7" t="s">
        <v>767</v>
      </c>
      <c r="B229" s="15" t="s">
        <v>768</v>
      </c>
      <c r="C229" s="12" t="s">
        <v>109</v>
      </c>
      <c r="D229" s="7" t="s">
        <v>361</v>
      </c>
      <c r="E229" s="13" t="s">
        <v>769</v>
      </c>
      <c r="F229" s="7" t="s">
        <v>770</v>
      </c>
      <c r="G229" s="8">
        <v>3.98</v>
      </c>
      <c r="H229" s="8">
        <v>0</v>
      </c>
      <c r="I229" s="8"/>
      <c r="J229" s="8"/>
      <c r="K229" s="8"/>
      <c r="L229" s="8"/>
      <c r="M229" s="8" t="s">
        <v>19</v>
      </c>
      <c r="P229">
        <f t="shared" si="3"/>
        <v>3.98</v>
      </c>
    </row>
    <row r="230" ht="17.4" customHeight="1" spans="1:16">
      <c r="A230" s="7" t="s">
        <v>771</v>
      </c>
      <c r="B230" s="15" t="s">
        <v>772</v>
      </c>
      <c r="C230" s="12" t="s">
        <v>109</v>
      </c>
      <c r="D230" s="7" t="s">
        <v>115</v>
      </c>
      <c r="E230" s="13" t="s">
        <v>773</v>
      </c>
      <c r="F230" s="7" t="s">
        <v>38</v>
      </c>
      <c r="G230" s="8">
        <v>180</v>
      </c>
      <c r="H230" s="8">
        <v>0</v>
      </c>
      <c r="I230" s="8"/>
      <c r="J230" s="8"/>
      <c r="K230" s="8"/>
      <c r="L230" s="8"/>
      <c r="M230" s="8" t="s">
        <v>19</v>
      </c>
      <c r="P230">
        <f t="shared" si="3"/>
        <v>180</v>
      </c>
    </row>
    <row r="231" ht="17.4" customHeight="1" spans="1:16">
      <c r="A231" s="7" t="s">
        <v>774</v>
      </c>
      <c r="B231" s="12" t="s">
        <v>775</v>
      </c>
      <c r="C231" s="12" t="s">
        <v>109</v>
      </c>
      <c r="D231" s="7" t="s">
        <v>18</v>
      </c>
      <c r="E231" s="13" t="s">
        <v>39</v>
      </c>
      <c r="F231" s="7" t="s">
        <v>776</v>
      </c>
      <c r="G231" s="8">
        <v>15</v>
      </c>
      <c r="H231" s="8">
        <v>46.31</v>
      </c>
      <c r="I231" s="8">
        <v>15.46</v>
      </c>
      <c r="J231" s="8">
        <v>20</v>
      </c>
      <c r="K231" s="8">
        <v>16.09</v>
      </c>
      <c r="L231" s="8"/>
      <c r="M231" s="8" t="s">
        <v>19</v>
      </c>
      <c r="P231">
        <f t="shared" si="3"/>
        <v>-31.31</v>
      </c>
    </row>
    <row r="232" ht="17.4" customHeight="1" spans="1:16">
      <c r="A232" s="7" t="s">
        <v>777</v>
      </c>
      <c r="B232" s="12" t="s">
        <v>778</v>
      </c>
      <c r="C232" s="12" t="s">
        <v>175</v>
      </c>
      <c r="D232" s="7" t="s">
        <v>18</v>
      </c>
      <c r="E232" s="13" t="s">
        <v>32</v>
      </c>
      <c r="F232" s="7" t="s">
        <v>779</v>
      </c>
      <c r="G232" s="8">
        <v>95.3</v>
      </c>
      <c r="H232" s="8">
        <v>0</v>
      </c>
      <c r="I232" s="8">
        <v>378</v>
      </c>
      <c r="J232" s="8">
        <v>402.05</v>
      </c>
      <c r="K232" s="8">
        <v>411.42</v>
      </c>
      <c r="L232" s="8"/>
      <c r="M232" s="8" t="s">
        <v>19</v>
      </c>
      <c r="P232">
        <f t="shared" si="3"/>
        <v>95.3</v>
      </c>
    </row>
    <row r="233" ht="17.4" customHeight="1" spans="1:16">
      <c r="A233" s="7" t="s">
        <v>780</v>
      </c>
      <c r="B233" s="15" t="s">
        <v>781</v>
      </c>
      <c r="C233" s="12" t="s">
        <v>175</v>
      </c>
      <c r="D233" s="7" t="s">
        <v>55</v>
      </c>
      <c r="E233" s="13" t="s">
        <v>20</v>
      </c>
      <c r="F233" s="7" t="s">
        <v>782</v>
      </c>
      <c r="G233" s="8">
        <v>1589</v>
      </c>
      <c r="H233" s="8">
        <v>0</v>
      </c>
      <c r="I233" s="8"/>
      <c r="J233" s="8"/>
      <c r="K233" s="8"/>
      <c r="L233" s="8"/>
      <c r="M233" s="8" t="s">
        <v>19</v>
      </c>
      <c r="P233">
        <f t="shared" si="3"/>
        <v>1589</v>
      </c>
    </row>
    <row r="234" ht="17.4" customHeight="1" spans="1:16">
      <c r="A234" s="7" t="s">
        <v>783</v>
      </c>
      <c r="B234" s="12" t="s">
        <v>784</v>
      </c>
      <c r="C234" s="12" t="s">
        <v>785</v>
      </c>
      <c r="D234" s="7" t="s">
        <v>18</v>
      </c>
      <c r="E234" s="13" t="s">
        <v>20</v>
      </c>
      <c r="F234" s="7" t="s">
        <v>786</v>
      </c>
      <c r="G234" s="8">
        <v>1521</v>
      </c>
      <c r="H234" s="8">
        <v>0</v>
      </c>
      <c r="I234" s="8">
        <v>1978.6</v>
      </c>
      <c r="J234" s="8">
        <v>2314.5</v>
      </c>
      <c r="K234" s="8">
        <v>2543.6</v>
      </c>
      <c r="L234" s="8"/>
      <c r="M234" s="8" t="s">
        <v>19</v>
      </c>
      <c r="P234">
        <f t="shared" si="3"/>
        <v>1521</v>
      </c>
    </row>
    <row r="235" ht="26.4" customHeight="1" spans="1:16">
      <c r="A235" s="7" t="s">
        <v>787</v>
      </c>
      <c r="B235" s="12" t="s">
        <v>788</v>
      </c>
      <c r="C235" s="12" t="s">
        <v>789</v>
      </c>
      <c r="D235" s="7" t="s">
        <v>18</v>
      </c>
      <c r="E235" s="13" t="s">
        <v>25</v>
      </c>
      <c r="F235" s="7" t="s">
        <v>790</v>
      </c>
      <c r="G235" s="8">
        <v>1954</v>
      </c>
      <c r="H235" s="8">
        <v>2528.85</v>
      </c>
      <c r="I235" s="8">
        <v>3412.6</v>
      </c>
      <c r="J235" s="8">
        <v>3645.1</v>
      </c>
      <c r="K235" s="8">
        <v>3725.6</v>
      </c>
      <c r="L235" s="8"/>
      <c r="M235" s="8" t="s">
        <v>19</v>
      </c>
      <c r="P235">
        <f t="shared" si="3"/>
        <v>-574.85</v>
      </c>
    </row>
    <row r="236" ht="26.4" customHeight="1" spans="1:16">
      <c r="A236" s="7" t="s">
        <v>791</v>
      </c>
      <c r="B236" s="12" t="s">
        <v>792</v>
      </c>
      <c r="C236" s="12" t="s">
        <v>789</v>
      </c>
      <c r="D236" s="7" t="s">
        <v>18</v>
      </c>
      <c r="E236" s="13" t="s">
        <v>43</v>
      </c>
      <c r="F236" s="7" t="s">
        <v>790</v>
      </c>
      <c r="G236" s="8">
        <v>1954</v>
      </c>
      <c r="H236" s="8">
        <v>0</v>
      </c>
      <c r="I236" s="8">
        <v>3516.5</v>
      </c>
      <c r="J236" s="8">
        <v>3745.9</v>
      </c>
      <c r="K236" s="8">
        <v>3928.7</v>
      </c>
      <c r="L236" s="8"/>
      <c r="M236" s="8" t="s">
        <v>19</v>
      </c>
      <c r="P236">
        <f t="shared" si="3"/>
        <v>1954</v>
      </c>
    </row>
    <row r="237" ht="17.4" customHeight="1" spans="1:16">
      <c r="A237" s="7" t="s">
        <v>793</v>
      </c>
      <c r="B237" s="12" t="s">
        <v>794</v>
      </c>
      <c r="C237" s="12" t="s">
        <v>795</v>
      </c>
      <c r="D237" s="7" t="s">
        <v>18</v>
      </c>
      <c r="E237" s="13" t="s">
        <v>20</v>
      </c>
      <c r="F237" s="7" t="s">
        <v>796</v>
      </c>
      <c r="G237" s="8">
        <v>1685</v>
      </c>
      <c r="H237" s="8">
        <v>0</v>
      </c>
      <c r="I237" s="8">
        <v>2547.3</v>
      </c>
      <c r="J237" s="8">
        <v>2715.5</v>
      </c>
      <c r="K237" s="8">
        <v>2914.6</v>
      </c>
      <c r="L237" s="8"/>
      <c r="M237" s="8" t="s">
        <v>19</v>
      </c>
      <c r="P237">
        <f t="shared" si="3"/>
        <v>1685</v>
      </c>
    </row>
    <row r="238" ht="26.4" customHeight="1" spans="1:16">
      <c r="A238" s="7" t="s">
        <v>797</v>
      </c>
      <c r="B238" s="12" t="s">
        <v>794</v>
      </c>
      <c r="C238" s="12" t="s">
        <v>789</v>
      </c>
      <c r="D238" s="7" t="s">
        <v>18</v>
      </c>
      <c r="E238" s="13" t="s">
        <v>25</v>
      </c>
      <c r="F238" s="7" t="s">
        <v>790</v>
      </c>
      <c r="G238" s="8">
        <v>1954</v>
      </c>
      <c r="H238" s="8">
        <v>0</v>
      </c>
      <c r="I238" s="8">
        <v>2143.6</v>
      </c>
      <c r="J238" s="8">
        <v>2415.6</v>
      </c>
      <c r="K238" s="8">
        <v>2615.4</v>
      </c>
      <c r="L238" s="8"/>
      <c r="M238" s="8" t="s">
        <v>19</v>
      </c>
      <c r="P238">
        <f t="shared" si="3"/>
        <v>1954</v>
      </c>
    </row>
    <row r="239" ht="17.4" customHeight="1" spans="1:16">
      <c r="A239" s="7" t="s">
        <v>798</v>
      </c>
      <c r="B239" s="12" t="s">
        <v>794</v>
      </c>
      <c r="C239" s="12" t="s">
        <v>799</v>
      </c>
      <c r="D239" s="7" t="s">
        <v>18</v>
      </c>
      <c r="E239" s="13" t="s">
        <v>20</v>
      </c>
      <c r="F239" s="7" t="s">
        <v>786</v>
      </c>
      <c r="G239" s="8">
        <v>1521</v>
      </c>
      <c r="H239" s="8">
        <v>0</v>
      </c>
      <c r="I239" s="8">
        <v>2782.5</v>
      </c>
      <c r="J239" s="8">
        <v>2941.3</v>
      </c>
      <c r="K239" s="8">
        <v>3125.4</v>
      </c>
      <c r="L239" s="8"/>
      <c r="M239" s="8" t="s">
        <v>19</v>
      </c>
      <c r="P239">
        <f t="shared" si="3"/>
        <v>1521</v>
      </c>
    </row>
    <row r="240" ht="17.4" customHeight="1" spans="1:16">
      <c r="A240" s="7" t="s">
        <v>800</v>
      </c>
      <c r="B240" s="12" t="s">
        <v>794</v>
      </c>
      <c r="C240" s="12" t="s">
        <v>801</v>
      </c>
      <c r="D240" s="7" t="s">
        <v>18</v>
      </c>
      <c r="E240" s="13" t="s">
        <v>25</v>
      </c>
      <c r="F240" s="7" t="s">
        <v>802</v>
      </c>
      <c r="G240" s="8">
        <v>1984</v>
      </c>
      <c r="H240" s="8">
        <v>0</v>
      </c>
      <c r="I240" s="8">
        <v>3948.5</v>
      </c>
      <c r="J240" s="8">
        <v>4125.3</v>
      </c>
      <c r="K240" s="8">
        <v>4321.7</v>
      </c>
      <c r="L240" s="8"/>
      <c r="M240" s="8" t="s">
        <v>19</v>
      </c>
      <c r="P240">
        <f t="shared" si="3"/>
        <v>1984</v>
      </c>
    </row>
    <row r="241" ht="87" customHeight="1" spans="1:16">
      <c r="A241" s="7" t="s">
        <v>803</v>
      </c>
      <c r="B241" s="12" t="s">
        <v>804</v>
      </c>
      <c r="C241" s="12" t="s">
        <v>805</v>
      </c>
      <c r="D241" s="7" t="s">
        <v>126</v>
      </c>
      <c r="E241" s="13" t="s">
        <v>15</v>
      </c>
      <c r="F241" s="7" t="s">
        <v>806</v>
      </c>
      <c r="G241" s="8">
        <v>2860</v>
      </c>
      <c r="H241" s="8">
        <v>0</v>
      </c>
      <c r="I241" s="8">
        <v>5515</v>
      </c>
      <c r="J241" s="8">
        <v>6524</v>
      </c>
      <c r="K241" s="8">
        <v>7315</v>
      </c>
      <c r="L241" s="8"/>
      <c r="M241" s="8" t="s">
        <v>19</v>
      </c>
      <c r="P241">
        <f t="shared" si="3"/>
        <v>2860</v>
      </c>
    </row>
    <row r="242" ht="99" customHeight="1" spans="1:16">
      <c r="A242" s="7" t="s">
        <v>807</v>
      </c>
      <c r="B242" s="12" t="s">
        <v>808</v>
      </c>
      <c r="C242" s="12" t="s">
        <v>809</v>
      </c>
      <c r="D242" s="7" t="s">
        <v>126</v>
      </c>
      <c r="E242" s="13" t="s">
        <v>15</v>
      </c>
      <c r="F242" s="7" t="s">
        <v>810</v>
      </c>
      <c r="G242" s="8">
        <v>3480</v>
      </c>
      <c r="H242" s="8">
        <v>0</v>
      </c>
      <c r="I242" s="8">
        <v>6575</v>
      </c>
      <c r="J242" s="8">
        <v>7495</v>
      </c>
      <c r="K242" s="8">
        <v>8235</v>
      </c>
      <c r="L242" s="8"/>
      <c r="M242" s="8" t="s">
        <v>19</v>
      </c>
      <c r="P242">
        <f t="shared" si="3"/>
        <v>3480</v>
      </c>
    </row>
    <row r="243" ht="87" customHeight="1" spans="1:16">
      <c r="A243" s="7" t="s">
        <v>811</v>
      </c>
      <c r="B243" s="12" t="s">
        <v>812</v>
      </c>
      <c r="C243" s="12" t="s">
        <v>813</v>
      </c>
      <c r="D243" s="7" t="s">
        <v>126</v>
      </c>
      <c r="E243" s="13" t="s">
        <v>20</v>
      </c>
      <c r="F243" s="7" t="s">
        <v>814</v>
      </c>
      <c r="G243" s="8">
        <v>1560</v>
      </c>
      <c r="H243" s="8">
        <v>0</v>
      </c>
      <c r="I243" s="8">
        <v>5213</v>
      </c>
      <c r="J243" s="8">
        <v>5872</v>
      </c>
      <c r="K243" s="8">
        <v>7024</v>
      </c>
      <c r="L243" s="8"/>
      <c r="M243" s="8" t="s">
        <v>19</v>
      </c>
      <c r="P243">
        <f t="shared" si="3"/>
        <v>1560</v>
      </c>
    </row>
    <row r="244" ht="17.4" customHeight="1" spans="1:16">
      <c r="A244" s="7" t="s">
        <v>815</v>
      </c>
      <c r="B244" s="15" t="s">
        <v>816</v>
      </c>
      <c r="C244" s="12" t="s">
        <v>109</v>
      </c>
      <c r="D244" s="7" t="s">
        <v>361</v>
      </c>
      <c r="E244" s="13" t="s">
        <v>817</v>
      </c>
      <c r="F244" s="7" t="s">
        <v>818</v>
      </c>
      <c r="G244" s="8">
        <v>3.45</v>
      </c>
      <c r="H244" s="8">
        <v>3.92</v>
      </c>
      <c r="I244" s="8"/>
      <c r="J244" s="8"/>
      <c r="K244" s="8"/>
      <c r="L244" s="8"/>
      <c r="M244" s="18"/>
      <c r="N244" s="19"/>
      <c r="O244" s="19"/>
      <c r="P244">
        <f t="shared" si="3"/>
        <v>-0.47</v>
      </c>
    </row>
    <row r="245" ht="17.4" customHeight="1" spans="1:16">
      <c r="A245" s="7" t="s">
        <v>819</v>
      </c>
      <c r="B245" s="15" t="s">
        <v>816</v>
      </c>
      <c r="C245" s="12" t="s">
        <v>419</v>
      </c>
      <c r="D245" s="7" t="s">
        <v>361</v>
      </c>
      <c r="E245" s="13" t="s">
        <v>820</v>
      </c>
      <c r="F245" s="7" t="s">
        <v>818</v>
      </c>
      <c r="G245" s="8">
        <v>3.45</v>
      </c>
      <c r="H245" s="8">
        <v>3.92</v>
      </c>
      <c r="I245" s="8"/>
      <c r="J245" s="8"/>
      <c r="K245" s="8"/>
      <c r="L245" s="8"/>
      <c r="M245" s="18"/>
      <c r="N245" s="19"/>
      <c r="O245" s="19"/>
      <c r="P245">
        <f t="shared" si="3"/>
        <v>-0.47</v>
      </c>
    </row>
    <row r="246" ht="26.4" customHeight="1" spans="1:16">
      <c r="A246" s="7" t="s">
        <v>821</v>
      </c>
      <c r="B246" s="12" t="s">
        <v>822</v>
      </c>
      <c r="C246" s="12" t="s">
        <v>823</v>
      </c>
      <c r="D246" s="7" t="s">
        <v>126</v>
      </c>
      <c r="E246" s="13" t="s">
        <v>15</v>
      </c>
      <c r="F246" s="7" t="s">
        <v>824</v>
      </c>
      <c r="G246" s="8">
        <v>4738</v>
      </c>
      <c r="H246" s="8">
        <v>0</v>
      </c>
      <c r="I246" s="8">
        <v>7580.8</v>
      </c>
      <c r="J246" s="8">
        <v>7834.63</v>
      </c>
      <c r="K246" s="8">
        <v>9338.22</v>
      </c>
      <c r="L246" s="8"/>
      <c r="M246" s="8" t="s">
        <v>19</v>
      </c>
      <c r="P246">
        <f t="shared" si="3"/>
        <v>4738</v>
      </c>
    </row>
    <row r="247" ht="17.4" customHeight="1" spans="1:16">
      <c r="A247" s="7" t="s">
        <v>825</v>
      </c>
      <c r="B247" s="12" t="s">
        <v>826</v>
      </c>
      <c r="C247" s="12" t="s">
        <v>109</v>
      </c>
      <c r="D247" s="7" t="s">
        <v>55</v>
      </c>
      <c r="E247" s="13" t="s">
        <v>83</v>
      </c>
      <c r="F247" s="7" t="s">
        <v>827</v>
      </c>
      <c r="G247" s="8">
        <v>27.33</v>
      </c>
      <c r="H247" s="8">
        <v>41.69</v>
      </c>
      <c r="I247" s="8">
        <v>30.69</v>
      </c>
      <c r="J247" s="8">
        <v>33.38</v>
      </c>
      <c r="K247" s="8">
        <v>32.87</v>
      </c>
      <c r="L247" s="8"/>
      <c r="M247" s="8" t="s">
        <v>19</v>
      </c>
      <c r="P247">
        <f t="shared" si="3"/>
        <v>-14.36</v>
      </c>
    </row>
    <row r="248" ht="17.4" customHeight="1" spans="1:16">
      <c r="A248" s="7" t="s">
        <v>828</v>
      </c>
      <c r="B248" s="12" t="s">
        <v>829</v>
      </c>
      <c r="C248" s="12" t="s">
        <v>152</v>
      </c>
      <c r="D248" s="7" t="s">
        <v>18</v>
      </c>
      <c r="E248" s="13" t="s">
        <v>830</v>
      </c>
      <c r="F248" s="7" t="s">
        <v>831</v>
      </c>
      <c r="G248" s="8">
        <v>37</v>
      </c>
      <c r="H248" s="8">
        <v>44.46</v>
      </c>
      <c r="I248" s="8">
        <v>22.68</v>
      </c>
      <c r="J248" s="8">
        <v>25.33</v>
      </c>
      <c r="K248" s="8">
        <v>23.36</v>
      </c>
      <c r="L248" s="8"/>
      <c r="M248" s="8" t="s">
        <v>19</v>
      </c>
      <c r="P248">
        <f t="shared" si="3"/>
        <v>-7.46</v>
      </c>
    </row>
    <row r="249" ht="17.4" customHeight="1" spans="1:16">
      <c r="A249" s="7" t="s">
        <v>832</v>
      </c>
      <c r="B249" s="12" t="s">
        <v>829</v>
      </c>
      <c r="C249" s="12" t="s">
        <v>747</v>
      </c>
      <c r="D249" s="7" t="s">
        <v>18</v>
      </c>
      <c r="E249" s="13" t="s">
        <v>833</v>
      </c>
      <c r="F249" s="7" t="s">
        <v>834</v>
      </c>
      <c r="G249" s="8">
        <v>48</v>
      </c>
      <c r="H249" s="8">
        <v>71.1</v>
      </c>
      <c r="I249" s="8">
        <v>29.03</v>
      </c>
      <c r="J249" s="8">
        <v>31.17</v>
      </c>
      <c r="K249" s="8">
        <v>33.09</v>
      </c>
      <c r="L249" s="8"/>
      <c r="M249" s="8" t="s">
        <v>19</v>
      </c>
      <c r="P249">
        <f t="shared" si="3"/>
        <v>-23.1</v>
      </c>
    </row>
    <row r="250" ht="17.4" customHeight="1" spans="1:16">
      <c r="A250" s="7" t="s">
        <v>835</v>
      </c>
      <c r="B250" s="12" t="s">
        <v>829</v>
      </c>
      <c r="C250" s="12" t="s">
        <v>175</v>
      </c>
      <c r="D250" s="7" t="s">
        <v>18</v>
      </c>
      <c r="E250" s="13" t="s">
        <v>836</v>
      </c>
      <c r="F250" s="7" t="s">
        <v>837</v>
      </c>
      <c r="G250" s="8">
        <v>58</v>
      </c>
      <c r="H250" s="8">
        <v>90</v>
      </c>
      <c r="I250" s="8">
        <v>39.8</v>
      </c>
      <c r="J250" s="8">
        <v>39.99</v>
      </c>
      <c r="K250" s="8">
        <v>41.76</v>
      </c>
      <c r="L250" s="8"/>
      <c r="M250" s="8" t="s">
        <v>19</v>
      </c>
      <c r="P250">
        <f t="shared" si="3"/>
        <v>-32</v>
      </c>
    </row>
    <row r="251" ht="17.4" customHeight="1" spans="1:16">
      <c r="A251" s="7" t="s">
        <v>838</v>
      </c>
      <c r="B251" s="12" t="s">
        <v>829</v>
      </c>
      <c r="C251" s="12" t="s">
        <v>162</v>
      </c>
      <c r="D251" s="7" t="s">
        <v>18</v>
      </c>
      <c r="E251" s="13" t="s">
        <v>839</v>
      </c>
      <c r="F251" s="7" t="s">
        <v>840</v>
      </c>
      <c r="G251" s="8">
        <v>82</v>
      </c>
      <c r="H251" s="8">
        <v>153</v>
      </c>
      <c r="I251" s="8">
        <v>105.3</v>
      </c>
      <c r="J251" s="8">
        <v>112.11</v>
      </c>
      <c r="K251" s="8">
        <v>115.02</v>
      </c>
      <c r="L251" s="8"/>
      <c r="M251" s="8" t="s">
        <v>19</v>
      </c>
      <c r="P251">
        <f t="shared" si="3"/>
        <v>-71</v>
      </c>
    </row>
    <row r="252" ht="17.4" customHeight="1" spans="1:16">
      <c r="A252" s="7" t="s">
        <v>841</v>
      </c>
      <c r="B252" s="12" t="s">
        <v>829</v>
      </c>
      <c r="C252" s="12" t="s">
        <v>180</v>
      </c>
      <c r="D252" s="7" t="s">
        <v>18</v>
      </c>
      <c r="E252" s="13" t="s">
        <v>842</v>
      </c>
      <c r="F252" s="7" t="s">
        <v>843</v>
      </c>
      <c r="G252" s="8">
        <v>22.5</v>
      </c>
      <c r="H252" s="8">
        <v>0</v>
      </c>
      <c r="I252" s="8">
        <v>14.18</v>
      </c>
      <c r="J252" s="8">
        <v>15.22</v>
      </c>
      <c r="K252" s="8">
        <v>15</v>
      </c>
      <c r="L252" s="8"/>
      <c r="M252" s="8" t="s">
        <v>19</v>
      </c>
      <c r="P252">
        <f t="shared" si="3"/>
        <v>22.5</v>
      </c>
    </row>
    <row r="253" ht="17.4" customHeight="1" spans="1:16">
      <c r="A253" s="7" t="s">
        <v>844</v>
      </c>
      <c r="B253" s="12" t="s">
        <v>829</v>
      </c>
      <c r="C253" s="12" t="s">
        <v>760</v>
      </c>
      <c r="D253" s="7" t="s">
        <v>18</v>
      </c>
      <c r="E253" s="13" t="s">
        <v>845</v>
      </c>
      <c r="F253" s="7" t="s">
        <v>846</v>
      </c>
      <c r="G253" s="8">
        <v>23</v>
      </c>
      <c r="H253" s="8">
        <v>29.7</v>
      </c>
      <c r="I253" s="8">
        <v>14.18</v>
      </c>
      <c r="J253" s="8">
        <v>15.22</v>
      </c>
      <c r="K253" s="8">
        <v>15</v>
      </c>
      <c r="L253" s="8"/>
      <c r="M253" s="8" t="s">
        <v>19</v>
      </c>
      <c r="P253">
        <f t="shared" si="3"/>
        <v>-6.7</v>
      </c>
    </row>
    <row r="254" ht="17.4" customHeight="1" spans="1:16">
      <c r="A254" s="7" t="s">
        <v>847</v>
      </c>
      <c r="B254" s="12" t="s">
        <v>829</v>
      </c>
      <c r="C254" s="12" t="s">
        <v>764</v>
      </c>
      <c r="D254" s="7" t="s">
        <v>18</v>
      </c>
      <c r="E254" s="13" t="s">
        <v>848</v>
      </c>
      <c r="F254" s="7" t="s">
        <v>762</v>
      </c>
      <c r="G254" s="8">
        <v>30.5</v>
      </c>
      <c r="H254" s="8">
        <v>0</v>
      </c>
      <c r="I254" s="8">
        <v>19.58</v>
      </c>
      <c r="J254" s="8">
        <v>20.74</v>
      </c>
      <c r="K254" s="8">
        <v>21.76</v>
      </c>
      <c r="L254" s="8"/>
      <c r="M254" s="8" t="s">
        <v>19</v>
      </c>
      <c r="P254">
        <f t="shared" si="3"/>
        <v>30.5</v>
      </c>
    </row>
    <row r="255" ht="17.4" customHeight="1" spans="1:16">
      <c r="A255" s="7" t="s">
        <v>849</v>
      </c>
      <c r="B255" s="12" t="s">
        <v>850</v>
      </c>
      <c r="C255" s="12" t="s">
        <v>109</v>
      </c>
      <c r="D255" s="7" t="s">
        <v>115</v>
      </c>
      <c r="E255" s="13" t="s">
        <v>851</v>
      </c>
      <c r="F255" s="7" t="s">
        <v>852</v>
      </c>
      <c r="G255" s="8">
        <v>265</v>
      </c>
      <c r="H255" s="8">
        <v>0</v>
      </c>
      <c r="I255" s="8">
        <v>980.23</v>
      </c>
      <c r="J255" s="8">
        <v>1023.56</v>
      </c>
      <c r="K255" s="8">
        <v>1152.3</v>
      </c>
      <c r="L255" s="8"/>
      <c r="M255" s="8" t="s">
        <v>19</v>
      </c>
      <c r="P255">
        <f t="shared" si="3"/>
        <v>265</v>
      </c>
    </row>
    <row r="256" ht="26.4" customHeight="1" spans="1:16">
      <c r="A256" s="7" t="s">
        <v>853</v>
      </c>
      <c r="B256" s="12" t="s">
        <v>854</v>
      </c>
      <c r="C256" s="12" t="s">
        <v>823</v>
      </c>
      <c r="D256" s="7" t="s">
        <v>126</v>
      </c>
      <c r="E256" s="13" t="s">
        <v>20</v>
      </c>
      <c r="F256" s="7" t="s">
        <v>824</v>
      </c>
      <c r="G256" s="8">
        <v>4738</v>
      </c>
      <c r="H256" s="8">
        <v>0</v>
      </c>
      <c r="I256" s="8">
        <v>3752.16</v>
      </c>
      <c r="J256" s="8">
        <v>3995.86</v>
      </c>
      <c r="K256" s="8">
        <v>4790.53</v>
      </c>
      <c r="L256" s="8"/>
      <c r="M256" s="8" t="s">
        <v>19</v>
      </c>
      <c r="P256">
        <f t="shared" si="3"/>
        <v>4738</v>
      </c>
    </row>
    <row r="257" ht="17.4" customHeight="1" spans="1:16">
      <c r="A257" s="7" t="s">
        <v>855</v>
      </c>
      <c r="B257" s="12" t="s">
        <v>856</v>
      </c>
      <c r="C257" s="12" t="s">
        <v>109</v>
      </c>
      <c r="D257" s="7" t="s">
        <v>115</v>
      </c>
      <c r="E257" s="13" t="s">
        <v>857</v>
      </c>
      <c r="F257" s="7" t="s">
        <v>858</v>
      </c>
      <c r="G257" s="8">
        <v>1118</v>
      </c>
      <c r="H257" s="8">
        <v>0</v>
      </c>
      <c r="I257" s="8">
        <v>1516.01</v>
      </c>
      <c r="J257" s="8">
        <v>1593.07</v>
      </c>
      <c r="K257" s="8">
        <v>1593.62</v>
      </c>
      <c r="L257" s="8"/>
      <c r="M257" s="8" t="s">
        <v>19</v>
      </c>
      <c r="P257">
        <f t="shared" si="3"/>
        <v>1118</v>
      </c>
    </row>
    <row r="258" ht="17.4" customHeight="1" spans="1:16">
      <c r="A258" s="7" t="s">
        <v>859</v>
      </c>
      <c r="B258" s="12" t="s">
        <v>860</v>
      </c>
      <c r="C258" s="12" t="s">
        <v>569</v>
      </c>
      <c r="D258" s="7" t="s">
        <v>153</v>
      </c>
      <c r="E258" s="13" t="s">
        <v>861</v>
      </c>
      <c r="F258" s="7" t="s">
        <v>862</v>
      </c>
      <c r="G258" s="8">
        <v>356.19</v>
      </c>
      <c r="H258" s="8">
        <v>0</v>
      </c>
      <c r="I258" s="8">
        <v>482.99</v>
      </c>
      <c r="J258" s="8">
        <v>511.57</v>
      </c>
      <c r="K258" s="8">
        <v>505.61</v>
      </c>
      <c r="L258" s="8"/>
      <c r="M258" s="8" t="s">
        <v>19</v>
      </c>
      <c r="P258">
        <f t="shared" si="3"/>
        <v>356.19</v>
      </c>
    </row>
    <row r="259" ht="17.4" customHeight="1" spans="1:16">
      <c r="A259" s="7" t="s">
        <v>863</v>
      </c>
      <c r="B259" s="15" t="s">
        <v>864</v>
      </c>
      <c r="C259" s="12" t="s">
        <v>865</v>
      </c>
      <c r="D259" s="7" t="s">
        <v>153</v>
      </c>
      <c r="E259" s="13" t="s">
        <v>866</v>
      </c>
      <c r="F259" s="7" t="s">
        <v>555</v>
      </c>
      <c r="G259" s="8">
        <v>10</v>
      </c>
      <c r="H259" s="8">
        <v>18</v>
      </c>
      <c r="I259" s="8"/>
      <c r="J259" s="8"/>
      <c r="K259" s="8"/>
      <c r="L259" s="8"/>
      <c r="M259" s="8" t="s">
        <v>19</v>
      </c>
      <c r="P259">
        <f t="shared" si="3"/>
        <v>-8</v>
      </c>
    </row>
    <row r="260" s="1" customFormat="1" ht="17.4" customHeight="1" spans="1:16">
      <c r="A260" s="20" t="s">
        <v>867</v>
      </c>
      <c r="B260" s="21" t="s">
        <v>868</v>
      </c>
      <c r="C260" s="22" t="s">
        <v>175</v>
      </c>
      <c r="D260" s="20" t="s">
        <v>869</v>
      </c>
      <c r="E260" s="23" t="s">
        <v>20</v>
      </c>
      <c r="F260" s="20" t="s">
        <v>870</v>
      </c>
      <c r="G260" s="24">
        <v>1250</v>
      </c>
      <c r="H260" s="24">
        <v>0</v>
      </c>
      <c r="I260" s="24">
        <v>1379.5</v>
      </c>
      <c r="J260" s="24">
        <v>1484.26</v>
      </c>
      <c r="K260" s="24">
        <v>1423.57</v>
      </c>
      <c r="L260" s="24"/>
      <c r="M260" s="24" t="s">
        <v>19</v>
      </c>
      <c r="N260" s="25"/>
      <c r="O260" s="25"/>
      <c r="P260" s="1">
        <f t="shared" si="3"/>
        <v>1250</v>
      </c>
    </row>
    <row r="261" s="1" customFormat="1" ht="17.4" customHeight="1" spans="1:16">
      <c r="A261" s="20" t="s">
        <v>871</v>
      </c>
      <c r="B261" s="21" t="s">
        <v>868</v>
      </c>
      <c r="C261" s="22" t="s">
        <v>175</v>
      </c>
      <c r="D261" s="20" t="s">
        <v>18</v>
      </c>
      <c r="E261" s="23" t="s">
        <v>15</v>
      </c>
      <c r="F261" s="20" t="s">
        <v>870</v>
      </c>
      <c r="G261" s="24">
        <v>1250</v>
      </c>
      <c r="H261" s="24">
        <v>0</v>
      </c>
      <c r="I261" s="24">
        <v>1379.5</v>
      </c>
      <c r="J261" s="24">
        <v>1484.26</v>
      </c>
      <c r="K261" s="24">
        <v>1423.57</v>
      </c>
      <c r="L261" s="24"/>
      <c r="M261" s="24" t="s">
        <v>19</v>
      </c>
      <c r="N261" s="25"/>
      <c r="O261" s="25"/>
      <c r="P261" s="1">
        <f t="shared" ref="P261:P311" si="4">F261-H261</f>
        <v>1250</v>
      </c>
    </row>
    <row r="262" s="1" customFormat="1" ht="17.4" customHeight="1" spans="1:16">
      <c r="A262" s="20" t="s">
        <v>872</v>
      </c>
      <c r="B262" s="21" t="s">
        <v>868</v>
      </c>
      <c r="C262" s="22" t="s">
        <v>180</v>
      </c>
      <c r="D262" s="20" t="s">
        <v>18</v>
      </c>
      <c r="E262" s="23" t="s">
        <v>15</v>
      </c>
      <c r="F262" s="20" t="s">
        <v>262</v>
      </c>
      <c r="G262" s="24">
        <v>440</v>
      </c>
      <c r="H262" s="24">
        <v>0</v>
      </c>
      <c r="I262" s="24">
        <v>485.58</v>
      </c>
      <c r="J262" s="24">
        <v>523.41</v>
      </c>
      <c r="K262" s="24">
        <v>497.81</v>
      </c>
      <c r="L262" s="24"/>
      <c r="M262" s="24" t="s">
        <v>19</v>
      </c>
      <c r="N262" s="25"/>
      <c r="O262" s="25"/>
      <c r="P262" s="1">
        <f t="shared" si="4"/>
        <v>440</v>
      </c>
    </row>
    <row r="263" ht="17.4" customHeight="1" spans="1:16">
      <c r="A263" s="7" t="s">
        <v>873</v>
      </c>
      <c r="B263" s="12" t="s">
        <v>874</v>
      </c>
      <c r="C263" s="12" t="s">
        <v>429</v>
      </c>
      <c r="D263" s="7" t="s">
        <v>153</v>
      </c>
      <c r="E263" s="13" t="s">
        <v>875</v>
      </c>
      <c r="F263" s="7" t="s">
        <v>876</v>
      </c>
      <c r="G263" s="8">
        <v>97.35</v>
      </c>
      <c r="H263" s="8">
        <v>82.44</v>
      </c>
      <c r="I263" s="8">
        <v>131.42</v>
      </c>
      <c r="J263" s="8">
        <v>145.39</v>
      </c>
      <c r="K263" s="8">
        <v>147.55</v>
      </c>
      <c r="L263" s="8"/>
      <c r="M263" s="8" t="s">
        <v>19</v>
      </c>
      <c r="P263">
        <f t="shared" si="4"/>
        <v>14.91</v>
      </c>
    </row>
    <row r="264" ht="17.4" customHeight="1" spans="1:16">
      <c r="A264" s="7" t="s">
        <v>877</v>
      </c>
      <c r="B264" s="12" t="s">
        <v>874</v>
      </c>
      <c r="C264" s="12" t="s">
        <v>878</v>
      </c>
      <c r="D264" s="7" t="s">
        <v>153</v>
      </c>
      <c r="E264" s="13" t="s">
        <v>879</v>
      </c>
      <c r="F264" s="7" t="s">
        <v>880</v>
      </c>
      <c r="G264" s="8">
        <v>136.78</v>
      </c>
      <c r="H264" s="8">
        <v>133.2</v>
      </c>
      <c r="I264" s="8">
        <v>184.65</v>
      </c>
      <c r="J264" s="8">
        <v>196.15</v>
      </c>
      <c r="K264" s="8">
        <v>205.14</v>
      </c>
      <c r="L264" s="8"/>
      <c r="M264" s="8" t="s">
        <v>19</v>
      </c>
      <c r="P264">
        <f t="shared" si="4"/>
        <v>3.58000000000001</v>
      </c>
    </row>
    <row r="265" ht="17.4" customHeight="1" spans="1:16">
      <c r="A265" s="7" t="s">
        <v>881</v>
      </c>
      <c r="B265" s="12" t="s">
        <v>874</v>
      </c>
      <c r="C265" s="12" t="s">
        <v>882</v>
      </c>
      <c r="D265" s="7" t="s">
        <v>153</v>
      </c>
      <c r="E265" s="13" t="s">
        <v>883</v>
      </c>
      <c r="F265" s="7" t="s">
        <v>884</v>
      </c>
      <c r="G265" s="8">
        <v>213.3</v>
      </c>
      <c r="H265" s="8">
        <v>188.1</v>
      </c>
      <c r="I265" s="8">
        <v>287.96</v>
      </c>
      <c r="J265" s="8">
        <v>307.14</v>
      </c>
      <c r="K265" s="8">
        <v>299.67</v>
      </c>
      <c r="L265" s="8"/>
      <c r="M265" s="8" t="s">
        <v>19</v>
      </c>
      <c r="P265">
        <f t="shared" si="4"/>
        <v>25.2</v>
      </c>
    </row>
    <row r="266" ht="17.4" customHeight="1" spans="1:16">
      <c r="A266" s="7" t="s">
        <v>885</v>
      </c>
      <c r="B266" s="12" t="s">
        <v>874</v>
      </c>
      <c r="C266" s="12" t="s">
        <v>886</v>
      </c>
      <c r="D266" s="7" t="s">
        <v>153</v>
      </c>
      <c r="E266" s="13" t="s">
        <v>887</v>
      </c>
      <c r="F266" s="7" t="s">
        <v>888</v>
      </c>
      <c r="G266" s="8">
        <v>264.53</v>
      </c>
      <c r="H266" s="8">
        <v>244.53</v>
      </c>
      <c r="I266" s="8">
        <v>357.12</v>
      </c>
      <c r="J266" s="8">
        <v>376.89</v>
      </c>
      <c r="K266" s="8">
        <v>375.44</v>
      </c>
      <c r="L266" s="8"/>
      <c r="M266" s="8" t="s">
        <v>19</v>
      </c>
      <c r="P266">
        <f t="shared" si="4"/>
        <v>20</v>
      </c>
    </row>
    <row r="267" ht="17.4" customHeight="1" spans="1:16">
      <c r="A267" s="7" t="s">
        <v>889</v>
      </c>
      <c r="B267" s="12" t="s">
        <v>890</v>
      </c>
      <c r="C267" s="12" t="s">
        <v>109</v>
      </c>
      <c r="D267" s="7" t="s">
        <v>115</v>
      </c>
      <c r="E267" s="13" t="s">
        <v>891</v>
      </c>
      <c r="F267" s="7" t="s">
        <v>892</v>
      </c>
      <c r="G267" s="8">
        <v>13</v>
      </c>
      <c r="H267" s="8">
        <v>5</v>
      </c>
      <c r="I267" s="8">
        <v>17.63</v>
      </c>
      <c r="J267" s="8">
        <v>18.61</v>
      </c>
      <c r="K267" s="8">
        <v>18.4</v>
      </c>
      <c r="L267" s="8"/>
      <c r="M267" s="8" t="s">
        <v>19</v>
      </c>
      <c r="P267">
        <f t="shared" si="4"/>
        <v>8</v>
      </c>
    </row>
    <row r="268" ht="17.4" customHeight="1" spans="1:16">
      <c r="A268" s="7" t="s">
        <v>893</v>
      </c>
      <c r="B268" s="12" t="s">
        <v>894</v>
      </c>
      <c r="C268" s="12" t="s">
        <v>175</v>
      </c>
      <c r="D268" s="7" t="s">
        <v>18</v>
      </c>
      <c r="E268" s="13" t="s">
        <v>32</v>
      </c>
      <c r="F268" s="7" t="s">
        <v>895</v>
      </c>
      <c r="G268" s="8">
        <v>513.27</v>
      </c>
      <c r="H268" s="8">
        <v>461.94</v>
      </c>
      <c r="I268" s="8"/>
      <c r="J268" s="8"/>
      <c r="K268" s="8"/>
      <c r="L268" s="8"/>
      <c r="M268" s="8">
        <v>513.27</v>
      </c>
      <c r="P268">
        <f t="shared" si="4"/>
        <v>51.33</v>
      </c>
    </row>
    <row r="269" ht="17.4" customHeight="1" spans="1:16">
      <c r="A269" s="7" t="s">
        <v>896</v>
      </c>
      <c r="B269" s="15" t="s">
        <v>894</v>
      </c>
      <c r="C269" s="12" t="s">
        <v>162</v>
      </c>
      <c r="D269" s="7" t="s">
        <v>18</v>
      </c>
      <c r="E269" s="13" t="s">
        <v>20</v>
      </c>
      <c r="F269" s="7" t="s">
        <v>897</v>
      </c>
      <c r="G269" s="8">
        <v>949</v>
      </c>
      <c r="H269" s="8">
        <v>1240.49</v>
      </c>
      <c r="I269" s="8"/>
      <c r="J269" s="8"/>
      <c r="K269" s="8"/>
      <c r="L269" s="8"/>
      <c r="M269" s="8" t="s">
        <v>19</v>
      </c>
      <c r="P269">
        <f t="shared" si="4"/>
        <v>-291.49</v>
      </c>
    </row>
    <row r="270" ht="17.4" customHeight="1" spans="1:16">
      <c r="A270" s="7" t="s">
        <v>898</v>
      </c>
      <c r="B270" s="15" t="s">
        <v>894</v>
      </c>
      <c r="C270" s="12" t="s">
        <v>180</v>
      </c>
      <c r="D270" s="7" t="s">
        <v>18</v>
      </c>
      <c r="E270" s="13" t="s">
        <v>20</v>
      </c>
      <c r="F270" s="7" t="s">
        <v>899</v>
      </c>
      <c r="G270" s="8">
        <v>144.41</v>
      </c>
      <c r="H270" s="8">
        <v>0</v>
      </c>
      <c r="I270" s="8"/>
      <c r="J270" s="8"/>
      <c r="K270" s="8"/>
      <c r="L270" s="8"/>
      <c r="M270" s="8" t="s">
        <v>19</v>
      </c>
      <c r="P270">
        <f t="shared" si="4"/>
        <v>144.41</v>
      </c>
    </row>
    <row r="271" ht="17.4" customHeight="1" spans="1:16">
      <c r="A271" s="7" t="s">
        <v>900</v>
      </c>
      <c r="B271" s="12" t="s">
        <v>901</v>
      </c>
      <c r="C271" s="12" t="s">
        <v>41</v>
      </c>
      <c r="D271" s="7" t="s">
        <v>18</v>
      </c>
      <c r="E271" s="13" t="s">
        <v>31</v>
      </c>
      <c r="F271" s="7" t="s">
        <v>902</v>
      </c>
      <c r="G271" s="8">
        <v>209.21</v>
      </c>
      <c r="H271" s="8">
        <v>588.21</v>
      </c>
      <c r="I271" s="8">
        <v>415.3</v>
      </c>
      <c r="J271" s="8">
        <v>489.3</v>
      </c>
      <c r="K271" s="8">
        <v>515.6</v>
      </c>
      <c r="L271" s="8"/>
      <c r="M271" s="8" t="s">
        <v>19</v>
      </c>
      <c r="P271">
        <f t="shared" si="4"/>
        <v>-379</v>
      </c>
    </row>
    <row r="272" ht="17.4" customHeight="1" spans="1:16">
      <c r="A272" s="7" t="s">
        <v>903</v>
      </c>
      <c r="B272" s="12" t="s">
        <v>901</v>
      </c>
      <c r="C272" s="12" t="s">
        <v>17</v>
      </c>
      <c r="D272" s="7" t="s">
        <v>18</v>
      </c>
      <c r="E272" s="13" t="s">
        <v>904</v>
      </c>
      <c r="F272" s="7" t="s">
        <v>905</v>
      </c>
      <c r="G272" s="8">
        <v>34.83</v>
      </c>
      <c r="H272" s="8">
        <v>43.48</v>
      </c>
      <c r="I272" s="8">
        <v>95.7</v>
      </c>
      <c r="J272" s="8">
        <v>99.7</v>
      </c>
      <c r="K272" s="8">
        <v>105.6</v>
      </c>
      <c r="L272" s="8"/>
      <c r="M272" s="8" t="s">
        <v>19</v>
      </c>
      <c r="P272">
        <f t="shared" si="4"/>
        <v>-8.65</v>
      </c>
    </row>
    <row r="273" ht="17.4" customHeight="1" spans="1:16">
      <c r="A273" s="7" t="s">
        <v>906</v>
      </c>
      <c r="B273" s="12" t="s">
        <v>901</v>
      </c>
      <c r="C273" s="12" t="s">
        <v>907</v>
      </c>
      <c r="D273" s="7" t="s">
        <v>18</v>
      </c>
      <c r="E273" s="13" t="s">
        <v>34</v>
      </c>
      <c r="F273" s="7" t="s">
        <v>908</v>
      </c>
      <c r="G273" s="8">
        <v>55.73</v>
      </c>
      <c r="H273" s="8">
        <v>0</v>
      </c>
      <c r="I273" s="8">
        <v>85.7</v>
      </c>
      <c r="J273" s="8">
        <v>89.3</v>
      </c>
      <c r="K273" s="8">
        <v>95.2</v>
      </c>
      <c r="L273" s="8"/>
      <c r="M273" s="8" t="s">
        <v>19</v>
      </c>
      <c r="P273">
        <f t="shared" si="4"/>
        <v>55.73</v>
      </c>
    </row>
    <row r="274" ht="17.4" customHeight="1" spans="1:16">
      <c r="A274" s="7" t="s">
        <v>909</v>
      </c>
      <c r="B274" s="12" t="s">
        <v>901</v>
      </c>
      <c r="C274" s="12" t="s">
        <v>96</v>
      </c>
      <c r="D274" s="7" t="s">
        <v>18</v>
      </c>
      <c r="E274" s="13" t="s">
        <v>34</v>
      </c>
      <c r="F274" s="7" t="s">
        <v>910</v>
      </c>
      <c r="G274" s="8">
        <v>54.43</v>
      </c>
      <c r="H274" s="8">
        <v>0</v>
      </c>
      <c r="I274" s="8">
        <v>92.3</v>
      </c>
      <c r="J274" s="8">
        <v>95.2</v>
      </c>
      <c r="K274" s="8">
        <v>105.2</v>
      </c>
      <c r="L274" s="8"/>
      <c r="M274" s="8" t="s">
        <v>19</v>
      </c>
      <c r="P274">
        <f t="shared" si="4"/>
        <v>54.43</v>
      </c>
    </row>
    <row r="275" ht="17.4" customHeight="1" spans="1:16">
      <c r="A275" s="7" t="s">
        <v>911</v>
      </c>
      <c r="B275" s="12" t="s">
        <v>901</v>
      </c>
      <c r="C275" s="12" t="s">
        <v>23</v>
      </c>
      <c r="D275" s="7" t="s">
        <v>18</v>
      </c>
      <c r="E275" s="13" t="s">
        <v>93</v>
      </c>
      <c r="F275" s="7" t="s">
        <v>912</v>
      </c>
      <c r="G275" s="8">
        <v>69.66</v>
      </c>
      <c r="H275" s="8">
        <v>160.2</v>
      </c>
      <c r="I275" s="8">
        <v>109.3</v>
      </c>
      <c r="J275" s="8">
        <v>115.3</v>
      </c>
      <c r="K275" s="8">
        <v>129.7</v>
      </c>
      <c r="L275" s="8"/>
      <c r="M275" s="8" t="s">
        <v>19</v>
      </c>
      <c r="P275">
        <f t="shared" si="4"/>
        <v>-90.54</v>
      </c>
    </row>
    <row r="276" ht="17.4" customHeight="1" spans="1:16">
      <c r="A276" s="7" t="s">
        <v>913</v>
      </c>
      <c r="B276" s="12" t="s">
        <v>901</v>
      </c>
      <c r="C276" s="12" t="s">
        <v>376</v>
      </c>
      <c r="D276" s="7" t="s">
        <v>18</v>
      </c>
      <c r="E276" s="13" t="s">
        <v>34</v>
      </c>
      <c r="F276" s="7" t="s">
        <v>914</v>
      </c>
      <c r="G276" s="8">
        <v>87.08</v>
      </c>
      <c r="H276" s="8">
        <v>0</v>
      </c>
      <c r="I276" s="8">
        <v>99.7</v>
      </c>
      <c r="J276" s="8">
        <v>117.52</v>
      </c>
      <c r="K276" s="8">
        <v>125.6</v>
      </c>
      <c r="L276" s="8"/>
      <c r="M276" s="8" t="s">
        <v>19</v>
      </c>
      <c r="P276">
        <f t="shared" si="4"/>
        <v>87.08</v>
      </c>
    </row>
    <row r="277" ht="17.4" customHeight="1" spans="1:16">
      <c r="A277" s="7" t="s">
        <v>915</v>
      </c>
      <c r="B277" s="12" t="s">
        <v>901</v>
      </c>
      <c r="C277" s="12" t="s">
        <v>26</v>
      </c>
      <c r="D277" s="7" t="s">
        <v>18</v>
      </c>
      <c r="E277" s="13" t="s">
        <v>27</v>
      </c>
      <c r="F277" s="7" t="s">
        <v>916</v>
      </c>
      <c r="G277" s="8">
        <v>98.8</v>
      </c>
      <c r="H277" s="8">
        <v>0</v>
      </c>
      <c r="I277" s="8">
        <v>101.84</v>
      </c>
      <c r="J277" s="8">
        <v>124.92</v>
      </c>
      <c r="K277" s="8">
        <v>135.2</v>
      </c>
      <c r="L277" s="8"/>
      <c r="M277" s="8" t="s">
        <v>19</v>
      </c>
      <c r="P277">
        <f t="shared" si="4"/>
        <v>98.8</v>
      </c>
    </row>
    <row r="278" ht="17.4" customHeight="1" spans="1:16">
      <c r="A278" s="7" t="s">
        <v>917</v>
      </c>
      <c r="B278" s="12" t="s">
        <v>901</v>
      </c>
      <c r="C278" s="12" t="s">
        <v>30</v>
      </c>
      <c r="D278" s="7" t="s">
        <v>18</v>
      </c>
      <c r="E278" s="13" t="s">
        <v>63</v>
      </c>
      <c r="F278" s="7" t="s">
        <v>918</v>
      </c>
      <c r="G278" s="8">
        <v>110.5</v>
      </c>
      <c r="H278" s="8">
        <v>0</v>
      </c>
      <c r="I278" s="8">
        <v>113.9</v>
      </c>
      <c r="J278" s="8">
        <v>132.96</v>
      </c>
      <c r="K278" s="8">
        <v>145.6</v>
      </c>
      <c r="L278" s="8"/>
      <c r="M278" s="8" t="s">
        <v>19</v>
      </c>
      <c r="P278">
        <f t="shared" si="4"/>
        <v>110.5</v>
      </c>
    </row>
    <row r="279" ht="17.4" customHeight="1" spans="1:16">
      <c r="A279" s="7" t="s">
        <v>919</v>
      </c>
      <c r="B279" s="12" t="s">
        <v>901</v>
      </c>
      <c r="C279" s="12" t="s">
        <v>62</v>
      </c>
      <c r="D279" s="7" t="s">
        <v>18</v>
      </c>
      <c r="E279" s="13" t="s">
        <v>34</v>
      </c>
      <c r="F279" s="7" t="s">
        <v>920</v>
      </c>
      <c r="G279" s="8">
        <v>85.2</v>
      </c>
      <c r="H279" s="8">
        <v>0</v>
      </c>
      <c r="I279" s="8">
        <v>135.6</v>
      </c>
      <c r="J279" s="8">
        <v>145.3</v>
      </c>
      <c r="K279" s="8">
        <v>159.7</v>
      </c>
      <c r="L279" s="8"/>
      <c r="M279" s="8" t="s">
        <v>19</v>
      </c>
      <c r="P279">
        <f t="shared" si="4"/>
        <v>85.2</v>
      </c>
    </row>
    <row r="280" ht="17.4" customHeight="1" spans="1:16">
      <c r="A280" s="7" t="s">
        <v>921</v>
      </c>
      <c r="B280" s="12" t="s">
        <v>901</v>
      </c>
      <c r="C280" s="12" t="s">
        <v>33</v>
      </c>
      <c r="D280" s="7" t="s">
        <v>18</v>
      </c>
      <c r="E280" s="13" t="s">
        <v>27</v>
      </c>
      <c r="F280" s="7" t="s">
        <v>922</v>
      </c>
      <c r="G280" s="8">
        <v>124.8</v>
      </c>
      <c r="H280" s="8">
        <v>0</v>
      </c>
      <c r="I280" s="8">
        <v>145.6</v>
      </c>
      <c r="J280" s="8">
        <v>164.11</v>
      </c>
      <c r="K280" s="8">
        <v>175.3</v>
      </c>
      <c r="L280" s="8"/>
      <c r="M280" s="8" t="s">
        <v>19</v>
      </c>
      <c r="P280">
        <f t="shared" si="4"/>
        <v>124.8</v>
      </c>
    </row>
    <row r="281" ht="17.4" customHeight="1" spans="1:16">
      <c r="A281" s="7" t="s">
        <v>923</v>
      </c>
      <c r="B281" s="15" t="s">
        <v>901</v>
      </c>
      <c r="C281" s="12" t="s">
        <v>162</v>
      </c>
      <c r="D281" s="7" t="s">
        <v>18</v>
      </c>
      <c r="E281" s="13" t="s">
        <v>20</v>
      </c>
      <c r="F281" s="7" t="s">
        <v>924</v>
      </c>
      <c r="G281" s="8">
        <v>1032.1</v>
      </c>
      <c r="H281" s="8">
        <v>653.09</v>
      </c>
      <c r="I281" s="8"/>
      <c r="J281" s="8"/>
      <c r="K281" s="8"/>
      <c r="L281" s="8"/>
      <c r="M281" s="8" t="s">
        <v>19</v>
      </c>
      <c r="P281">
        <f t="shared" si="4"/>
        <v>379.01</v>
      </c>
    </row>
    <row r="282" ht="17.4" customHeight="1" spans="1:16">
      <c r="A282" s="7" t="s">
        <v>925</v>
      </c>
      <c r="B282" s="15" t="s">
        <v>926</v>
      </c>
      <c r="C282" s="12" t="s">
        <v>109</v>
      </c>
      <c r="D282" s="7" t="s">
        <v>115</v>
      </c>
      <c r="E282" s="13" t="s">
        <v>927</v>
      </c>
      <c r="F282" s="7" t="s">
        <v>38</v>
      </c>
      <c r="G282" s="8">
        <v>180</v>
      </c>
      <c r="H282" s="8">
        <v>0</v>
      </c>
      <c r="I282" s="8"/>
      <c r="J282" s="8"/>
      <c r="K282" s="8"/>
      <c r="L282" s="8"/>
      <c r="M282" s="8" t="s">
        <v>19</v>
      </c>
      <c r="P282">
        <f t="shared" si="4"/>
        <v>180</v>
      </c>
    </row>
    <row r="283" ht="17.4" customHeight="1" spans="1:16">
      <c r="A283" s="7" t="s">
        <v>928</v>
      </c>
      <c r="B283" s="12" t="s">
        <v>929</v>
      </c>
      <c r="C283" s="12" t="s">
        <v>569</v>
      </c>
      <c r="D283" s="7" t="s">
        <v>55</v>
      </c>
      <c r="E283" s="13" t="s">
        <v>20</v>
      </c>
      <c r="F283" s="7" t="s">
        <v>930</v>
      </c>
      <c r="G283" s="8">
        <v>635</v>
      </c>
      <c r="H283" s="8">
        <v>0</v>
      </c>
      <c r="I283" s="8">
        <v>861.06</v>
      </c>
      <c r="J283" s="8">
        <v>899.68</v>
      </c>
      <c r="K283" s="8">
        <v>903.63</v>
      </c>
      <c r="L283" s="8"/>
      <c r="M283" s="8" t="s">
        <v>19</v>
      </c>
      <c r="P283">
        <f t="shared" si="4"/>
        <v>635</v>
      </c>
    </row>
    <row r="284" ht="17.4" customHeight="1" spans="1:16">
      <c r="A284" s="7" t="s">
        <v>931</v>
      </c>
      <c r="B284" s="12" t="s">
        <v>932</v>
      </c>
      <c r="C284" s="12" t="s">
        <v>109</v>
      </c>
      <c r="D284" s="7" t="s">
        <v>55</v>
      </c>
      <c r="E284" s="13" t="s">
        <v>933</v>
      </c>
      <c r="F284" s="7" t="s">
        <v>934</v>
      </c>
      <c r="G284" s="8">
        <v>335</v>
      </c>
      <c r="H284" s="8">
        <v>0</v>
      </c>
      <c r="I284" s="8">
        <v>454.26</v>
      </c>
      <c r="J284" s="8">
        <v>480.04</v>
      </c>
      <c r="K284" s="8">
        <v>473.47</v>
      </c>
      <c r="L284" s="8"/>
      <c r="M284" s="8" t="s">
        <v>19</v>
      </c>
      <c r="P284">
        <f t="shared" si="4"/>
        <v>335</v>
      </c>
    </row>
    <row r="285" ht="26.4" customHeight="1" spans="1:16">
      <c r="A285" s="7" t="s">
        <v>935</v>
      </c>
      <c r="B285" s="12" t="s">
        <v>936</v>
      </c>
      <c r="C285" s="12" t="s">
        <v>937</v>
      </c>
      <c r="D285" s="7" t="s">
        <v>126</v>
      </c>
      <c r="E285" s="13" t="s">
        <v>15</v>
      </c>
      <c r="F285" s="7" t="s">
        <v>938</v>
      </c>
      <c r="G285" s="8">
        <v>23853</v>
      </c>
      <c r="H285" s="8">
        <v>0</v>
      </c>
      <c r="I285" s="8">
        <v>6532.35</v>
      </c>
      <c r="J285" s="8">
        <v>6942.36</v>
      </c>
      <c r="K285" s="8">
        <v>7265.62</v>
      </c>
      <c r="L285" s="8"/>
      <c r="M285" s="8" t="s">
        <v>19</v>
      </c>
      <c r="P285">
        <f t="shared" si="4"/>
        <v>23853</v>
      </c>
    </row>
    <row r="286" ht="17.4" customHeight="1" spans="1:16">
      <c r="A286" s="7" t="s">
        <v>939</v>
      </c>
      <c r="B286" s="12" t="s">
        <v>940</v>
      </c>
      <c r="C286" s="12" t="s">
        <v>583</v>
      </c>
      <c r="D286" s="7" t="s">
        <v>18</v>
      </c>
      <c r="E286" s="13" t="s">
        <v>20</v>
      </c>
      <c r="F286" s="7" t="s">
        <v>941</v>
      </c>
      <c r="G286" s="8">
        <v>66.5</v>
      </c>
      <c r="H286" s="8">
        <v>46.14</v>
      </c>
      <c r="I286" s="8">
        <v>22.09</v>
      </c>
      <c r="J286" s="8">
        <v>23.01</v>
      </c>
      <c r="K286" s="8">
        <v>23.11</v>
      </c>
      <c r="L286" s="8"/>
      <c r="M286" s="8" t="s">
        <v>19</v>
      </c>
      <c r="P286">
        <f t="shared" si="4"/>
        <v>20.36</v>
      </c>
    </row>
    <row r="287" ht="17.4" customHeight="1" spans="1:16">
      <c r="A287" s="7" t="s">
        <v>942</v>
      </c>
      <c r="B287" s="15" t="s">
        <v>943</v>
      </c>
      <c r="C287" s="12" t="s">
        <v>175</v>
      </c>
      <c r="D287" s="7" t="s">
        <v>55</v>
      </c>
      <c r="E287" s="13" t="s">
        <v>22</v>
      </c>
      <c r="F287" s="7" t="s">
        <v>782</v>
      </c>
      <c r="G287" s="8">
        <v>1589</v>
      </c>
      <c r="H287" s="8">
        <v>0</v>
      </c>
      <c r="I287" s="8"/>
      <c r="J287" s="8"/>
      <c r="K287" s="8"/>
      <c r="L287" s="8"/>
      <c r="M287" s="8" t="s">
        <v>19</v>
      </c>
      <c r="P287">
        <f t="shared" si="4"/>
        <v>1589</v>
      </c>
    </row>
    <row r="288" ht="99" customHeight="1" spans="1:16">
      <c r="A288" s="7" t="s">
        <v>944</v>
      </c>
      <c r="B288" s="12" t="s">
        <v>945</v>
      </c>
      <c r="C288" s="12" t="s">
        <v>946</v>
      </c>
      <c r="D288" s="7" t="s">
        <v>126</v>
      </c>
      <c r="E288" s="13" t="s">
        <v>20</v>
      </c>
      <c r="F288" s="7" t="s">
        <v>947</v>
      </c>
      <c r="G288" s="8">
        <v>123000</v>
      </c>
      <c r="H288" s="8">
        <v>0</v>
      </c>
      <c r="I288" s="8">
        <v>123000</v>
      </c>
      <c r="J288" s="8">
        <v>132000</v>
      </c>
      <c r="K288" s="8">
        <v>132080</v>
      </c>
      <c r="L288" s="8"/>
      <c r="M288" s="8" t="s">
        <v>19</v>
      </c>
      <c r="P288">
        <f t="shared" si="4"/>
        <v>123000</v>
      </c>
    </row>
    <row r="289" ht="99" customHeight="1" spans="1:16">
      <c r="A289" s="7" t="s">
        <v>948</v>
      </c>
      <c r="B289" s="12" t="s">
        <v>945</v>
      </c>
      <c r="C289" s="12" t="s">
        <v>949</v>
      </c>
      <c r="D289" s="7" t="s">
        <v>126</v>
      </c>
      <c r="E289" s="13" t="s">
        <v>20</v>
      </c>
      <c r="F289" s="7" t="s">
        <v>950</v>
      </c>
      <c r="G289" s="8">
        <v>220000</v>
      </c>
      <c r="H289" s="8">
        <v>0</v>
      </c>
      <c r="I289" s="8">
        <v>220000</v>
      </c>
      <c r="J289" s="8">
        <v>231000</v>
      </c>
      <c r="K289" s="8">
        <v>231080</v>
      </c>
      <c r="L289" s="8"/>
      <c r="M289" s="8" t="s">
        <v>19</v>
      </c>
      <c r="P289">
        <f t="shared" si="4"/>
        <v>220000</v>
      </c>
    </row>
    <row r="290" ht="17.4" customHeight="1" spans="1:16">
      <c r="A290" s="26" t="s">
        <v>951</v>
      </c>
      <c r="B290" s="27" t="s">
        <v>952</v>
      </c>
      <c r="C290" s="27" t="s">
        <v>109</v>
      </c>
      <c r="D290" s="26" t="s">
        <v>109</v>
      </c>
      <c r="E290" s="28" t="s">
        <v>109</v>
      </c>
      <c r="F290" s="26" t="s">
        <v>109</v>
      </c>
    </row>
  </sheetData>
  <autoFilter xmlns:etc="http://www.wps.cn/officeDocument/2017/etCustomData" ref="A3:W311" etc:filterBottomFollowUsedRange="0">
    <extLst/>
  </autoFilter>
  <mergeCells count="4">
    <mergeCell ref="A1:M1"/>
    <mergeCell ref="A2:B2"/>
    <mergeCell ref="C2:F2"/>
    <mergeCell ref="I3:K3"/>
  </mergeCells>
  <pageMargins left="0.47244094488189" right="0.78740157480315" top="0.47244094488189" bottom="0.75" header="0" footer="0"/>
  <pageSetup paperSize="9" orientation="landscape"/>
  <headerFooter/>
  <rowBreaks count="1" manualBreakCount="1">
    <brk id="29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工料机汇总调价表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₯ℬℊℳ↬</cp:lastModifiedBy>
  <dcterms:created xsi:type="dcterms:W3CDTF">2026-02-27T00:22:00Z</dcterms:created>
  <dcterms:modified xsi:type="dcterms:W3CDTF">2026-03-14T01:40:18Z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7750323A85884F8BBC23755633771A7B_12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